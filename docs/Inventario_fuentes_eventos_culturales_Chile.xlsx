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268f7e4b9e49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8b20772197ed4e82"/>
    <x:sheet xmlns:r="http://schemas.openxmlformats.org/officeDocument/2006/relationships" name="Fuentes" sheetId="2" r:id="R95801e3ce6d949f7"/>
    <x:sheet xmlns:r="http://schemas.openxmlformats.org/officeDocument/2006/relationships" name="Criterios" sheetId="3" r:id="R444affe9372f4c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%"/>
    <x:numFmt numFmtId="202" formatCode="0"/>
    <x:numFmt numFmtId="203" formatCode="yyyy-mm-dd hh:mm"/>
  </x:numFmts>
  <x:fonts count="10">
    <x:font>
      <x:sz val="11"/>
      <x:name val="Carlito"/>
    </x:font>
    <x:font>
      <x:sz val="10"/>
      <x:color rgb="FF24313B"/>
      <x:name val="Aptos"/>
    </x:font>
    <x:font>
      <x:b/>
      <x:sz val="10"/>
      <x:color rgb="FFFFFFFF"/>
      <x:name val="Aptos"/>
    </x:font>
    <x:font>
      <x:sz val="9"/>
      <x:color rgb="FF0563C1"/>
      <x:name val="Aptos"/>
    </x:font>
    <x:font>
      <x:b/>
      <x:sz val="20"/>
      <x:color rgb="FF15324B"/>
      <x:name val="Aptos"/>
    </x:font>
    <x:font>
      <x:i/>
      <x:sz val="10"/>
      <x:color rgb="FF5B6670"/>
      <x:name val="Aptos"/>
    </x:font>
    <x:font>
      <x:b/>
      <x:sz val="14"/>
      <x:color rgb="FF087E8B"/>
      <x:name val="Aptos"/>
    </x:font>
    <x:font>
      <x:b/>
      <x:sz val="19"/>
      <x:color rgb="FF15324B"/>
      <x:name val="Aptos"/>
    </x:font>
    <x:font>
      <x:b/>
      <x:sz val="10"/>
      <x:color rgb="FF15324B"/>
      <x:name val="Aptos"/>
    </x:font>
    <x:font>
      <x:sz val="9"/>
      <x:color rgb="FF24313B"/>
      <x:name val="Aptos"/>
    </x:font>
  </x:fonts>
  <x:fills count="15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F3F5F7"/>
      </x:patternFill>
    </x:fill>
    <x:fill>
      <x:patternFill patternType="solid">
        <x:fgColor rgb="FFE8F0F6"/>
      </x:patternFill>
    </x:fill>
    <x:fill>
      <x:patternFill patternType="solid">
        <x:fgColor rgb="FFFFFFFF"/>
      </x:patternFill>
    </x:fill>
    <x:fill>
      <x:patternFill patternType="solid">
        <x:fgColor rgb="FF087E8B"/>
      </x:patternFill>
    </x:fill>
    <x:fill>
      <x:patternFill patternType="solid">
        <x:fgColor rgb="FFDFF3F4"/>
      </x:patternFill>
    </x:fill>
    <x:fill>
      <x:patternFill patternType="solid">
        <x:fgColor rgb="FF15324B"/>
      </x:patternFill>
    </x:fill>
    <x:fill>
      <x:patternFill patternType="solid">
        <x:fgColor rgb="FF15324B"/>
      </x:patternFill>
    </x:fill>
    <x:fill>
      <x:patternFill patternType="solid">
        <x:fgColor rgb="FFE8F0F6"/>
      </x:patternFill>
    </x:fill>
    <x:fill>
      <x:patternFill patternType="solid">
        <x:fgColor rgb="FFFFFFFF"/>
      </x:patternFill>
    </x:fill>
    <x:fill>
      <x:patternFill patternType="solid">
        <x:fgColor rgb="FF15324B"/>
      </x:patternFill>
    </x:fill>
    <x:fill>
      <x:patternFill patternType="solid">
        <x:fgColor rgb="FFE8F0F6"/>
      </x:patternFill>
    </x:fill>
    <x:fill>
      <x:patternFill patternType="solid">
        <x:fgColor rgb="FFFFFFFF"/>
      </x:patternFill>
    </x:fill>
  </x:fills>
  <x:borders count="8">
    <x:border/>
    <x:border>
      <x:bottom style="thin">
        <x:color rgb="FFD6DCE2"/>
      </x:bottom>
    </x:border>
    <x:border>
      <x:left style="thin">
        <x:color rgb="FFD6DCE2"/>
      </x:left>
      <x:top style="thin">
        <x:color rgb="FFD6DCE2"/>
      </x:top>
    </x:border>
    <x:border>
      <x:right style="thin">
        <x:color rgb="FFD6DCE2"/>
      </x:right>
      <x:top style="thin">
        <x:color rgb="FFD6DCE2"/>
      </x:top>
    </x:border>
    <x:border>
      <x:left style="thin">
        <x:color rgb="FFD6DCE2"/>
      </x:left>
    </x:border>
    <x:border>
      <x:right style="thin">
        <x:color rgb="FFD6DCE2"/>
      </x:right>
    </x:border>
    <x:border>
      <x:left style="thin">
        <x:color rgb="FFD6DCE2"/>
      </x:left>
      <x:bottom style="thin">
        <x:color rgb="FFD6DCE2"/>
      </x:bottom>
    </x:border>
    <x:border>
      <x:right style="thin">
        <x:color rgb="FFD6DCE2"/>
      </x:right>
      <x:bottom style="thin">
        <x:color rgb="FFD6DCE2"/>
      </x:bottom>
    </x:border>
  </x:borders>
  <x:cellStyleXfs count="1">
    <x:xf numFmtId="0" fontId="0" fillId="0" borderId="0"/>
  </x:cellStyleXfs>
  <x:cellXfs count="9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1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201" fontId="6" fillId="5" borderId="0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1" fillId="4" borderId="4" xfId="0" applyNumberFormat="1" applyFont="1" applyFill="1" applyBorder="1"/>
    <x:xf numFmtId="0" fontId="6" fillId="5" borderId="5" xfId="0" applyNumberFormat="1" applyFont="1" applyFill="1" applyBorder="1" applyAlignment="1">
      <x:alignment horizontal="center"/>
    </x:xf>
    <x:xf numFmtId="0" fontId="1" fillId="4" borderId="6" xfId="0" applyNumberFormat="1" applyFont="1" applyFill="1" applyBorder="1"/>
    <x:xf numFmtId="201" fontId="6" fillId="5" borderId="7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/>
    <x:xf numFmtId="0" fontId="1" fillId="6" borderId="0" xfId="0" applyNumberFormat="1" applyFont="1" applyFill="1" applyBorder="1"/>
    <x:xf numFmtId="0" fontId="2" fillId="6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/>
    <x:xf numFmtId="0" fontId="9" fillId="0" xfId="0" applyNumberFormat="1" applyFont="1" applyFill="1" applyBorder="0"/>
    <x:xf numFmtId="0" fontId="9" fillId="0" borderId="1" xfId="0" applyNumberFormat="1" applyFont="1" applyFill="1" applyBorder="1"/>
    <x:xf numFmtId="0" fontId="9" fillId="0" xfId="0" applyNumberFormat="1" applyFont="1" applyFill="1" applyBorder="0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9" fillId="0" xfId="0" applyNumberFormat="1" applyFont="1" applyFill="1" applyBorder="0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202" fontId="9" fillId="0" xfId="0" applyNumberFormat="1" applyFont="1" applyFill="1" applyBorder="0" applyAlignment="1">
      <x:alignment vertical="top" wrapText="1"/>
    </x:xf>
    <x:xf numFmtId="202" fontId="9" fillId="0" borderId="1" xfId="0" applyNumberFormat="1" applyFont="1" applyFill="1" applyBorder="1" applyAlignment="1">
      <x:alignment vertical="top" wrapText="1"/>
    </x:xf>
    <x:xf numFmtId="203" fontId="9" fillId="0" xfId="0" applyNumberFormat="1" applyFont="1" applyFill="1" applyBorder="0" applyAlignment="1">
      <x:alignment vertical="top" wrapText="1"/>
    </x:xf>
    <x:xf numFmtId="203" fontId="9" fillId="0" borderId="1" xfId="0" applyNumberFormat="1" applyFont="1" applyFill="1" applyBorder="1" applyAlignment="1">
      <x:alignment vertical="top" wrapText="1"/>
    </x:xf>
    <x:xf numFmtId="0" fontId="3" fillId="0" xfId="0" applyNumberFormat="1" applyFont="1" applyFill="1" applyBorder="0" applyAlignment="1">
      <x:alignment vertical="top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1" fillId="9" borderId="0" xfId="0" applyNumberFormat="1" applyFont="1" applyFill="1" applyBorder="1"/>
    <x:xf numFmtId="0" fontId="2" fillId="9" borderId="0" xfId="0" applyNumberFormat="1" applyFont="1" applyFill="1" applyBorder="1"/>
    <x:xf numFmtId="0" fontId="1" fillId="10" borderId="0" xfId="0" applyNumberFormat="1" applyFont="1" applyFill="1" applyBorder="1"/>
    <x:xf numFmtId="0" fontId="1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2" fillId="9" borderId="2" xfId="0" applyNumberFormat="1" applyFont="1" applyFill="1" applyBorder="1"/>
    <x:xf numFmtId="0" fontId="2" fillId="9" borderId="3" xfId="0" applyNumberFormat="1" applyFont="1" applyFill="1" applyBorder="1"/>
    <x:xf numFmtId="0" fontId="1" fillId="10" borderId="4" xfId="0" applyNumberFormat="1" applyFont="1" applyFill="1" applyBorder="1"/>
    <x:xf numFmtId="0" fontId="6" fillId="11" borderId="5" xfId="0" applyNumberFormat="1" applyFont="1" applyFill="1" applyBorder="1" applyAlignment="1">
      <x:alignment horizontal="center"/>
    </x:xf>
    <x:xf numFmtId="0" fontId="1" fillId="10" borderId="6" xfId="0" applyNumberFormat="1" applyFont="1" applyFill="1" applyBorder="1"/>
    <x:xf numFmtId="0" fontId="6" fillId="11" borderId="7" xfId="0" applyNumberFormat="1" applyFont="1" applyFill="1" applyBorder="1" applyAlignment="1">
      <x:alignment horizontal="center"/>
    </x:xf>
    <x:xf numFmtId="201" fontId="6" fillId="11" borderId="5" xfId="0" applyNumberFormat="1" applyFont="1" applyFill="1" applyBorder="1" applyAlignment="1">
      <x:alignment horizontal="center"/>
    </x:xf>
    <x:xf numFmtId="201" fontId="6" fillId="11" borderId="7" xfId="0" applyNumberFormat="1" applyFont="1" applyFill="1" applyBorder="1" applyAlignment="1">
      <x:alignment horizontal="center"/>
    </x:xf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vertical="center" wrapText="1"/>
    </x:xf>
    <x:xf numFmtId="0" fontId="2" fillId="12" borderId="2" xfId="0" applyNumberFormat="1" applyFont="1" applyFill="1" applyBorder="1"/>
    <x:xf numFmtId="0" fontId="2" fillId="12" borderId="3" xfId="0" applyNumberFormat="1" applyFont="1" applyFill="1" applyBorder="1"/>
    <x:xf numFmtId="0" fontId="1" fillId="13" borderId="4" xfId="0" applyNumberFormat="1" applyFont="1" applyFill="1" applyBorder="1"/>
    <x:xf numFmtId="0" fontId="1" fillId="13" borderId="6" xfId="0" applyNumberFormat="1" applyFont="1" applyFill="1" applyBorder="1"/>
    <x:xf numFmtId="0" fontId="1" fillId="13" borderId="4" xfId="0" applyNumberFormat="1" applyFont="1" applyFill="1" applyBorder="1" applyAlignment="1">
      <x:alignment wrapText="1"/>
    </x:xf>
    <x:xf numFmtId="0" fontId="1" fillId="13" borderId="6" xfId="0" applyNumberFormat="1" applyFont="1" applyFill="1" applyBorder="1" applyAlignment="1">
      <x:alignment wrapText="1"/>
    </x:xf>
    <x:xf numFmtId="0" fontId="6" fillId="14" borderId="5" xfId="0" applyNumberFormat="1" applyFont="1" applyFill="1" applyBorder="1" applyAlignment="1">
      <x:alignment horizontal="center"/>
    </x:xf>
    <x:xf numFmtId="201" fontId="6" fillId="14" borderId="5" xfId="0" applyNumberFormat="1" applyFont="1" applyFill="1" applyBorder="1" applyAlignment="1">
      <x:alignment horizontal="center"/>
    </x:xf>
    <x:xf numFmtId="201" fontId="6" fillId="14" borderId="7" xfId="0" applyNumberFormat="1" applyFont="1" applyFill="1" applyBorder="1" applyAlignment="1">
      <x:alignment horizontal="center"/>
    </x:xf>
    <x:xf numFmtId="0" fontId="8" fillId="13" borderId="0" xfId="0" applyNumberFormat="1" applyFont="1" applyFill="1" applyBorder="1" applyAlignment="1">
      <x:alignment wrapText="1"/>
    </x:xf>
    <x:xf numFmtId="201" fontId="6" fillId="5" borderId="5" xfId="0" applyNumberFormat="1" applyFont="1" applyFill="1" applyBorder="1" applyAlignment="1">
      <x:alignment horizontal="center"/>
    </x:xf>
    <x:xf numFmtId="200" fontId="9" fillId="0" xfId="0" applyNumberFormat="1" applyFont="1" applyFill="1" applyBorder="0" applyAlignment="1">
      <x:alignment vertical="top" wrapText="1"/>
    </x:xf>
  </x:cellXfs>
  <x:cellStyles count="1">
    <x:cellStyle name="Normal" xfId="0"/>
  </x:cellStyles>
  <x:dxfs count="16">
    <x:dxf>
      <x:font>
        <x:b/>
        <x:color rgb="FF176B3A"/>
      </x:font>
      <x:fill>
        <x:patternFill>
          <x:bgColor rgb="FFDDF3E4"/>
        </x:patternFill>
      </x:fill>
    </x:dxf>
    <x:dxf>
      <x:font>
        <x:b/>
        <x:color rgb="FF7A5700"/>
      </x:font>
      <x:fill>
        <x:patternFill>
          <x:bgColor rgb="FFFFF0C7"/>
        </x:patternFill>
      </x:fill>
    </x:dxf>
    <x:dxf>
      <x:font>
        <x:color rgb="FF15324B"/>
      </x:font>
      <x:fill>
        <x:patternFill>
          <x:bgColor rgb="FFDFF3F4"/>
        </x:patternFill>
      </x:fill>
    </x:dxf>
    <x:dxf>
      <x:font>
        <x:color rgb="FF583D8C"/>
      </x:font>
      <x:fill>
        <x:patternFill>
          <x:bgColor rgb="FFEEE8FA"/>
        </x:patternFill>
      </x:fill>
    </x:dxf>
    <x:dxf>
      <x:font>
        <x:b/>
        <x:color rgb="FF176B3A"/>
      </x:font>
      <x:fill>
        <x:patternFill>
          <x:bgColor rgb="FFDDF3E4"/>
        </x:patternFill>
      </x:fill>
    </x:dxf>
    <x:dxf>
      <x:font>
        <x:b/>
        <x:color rgb="FF7A5700"/>
      </x:font>
      <x:fill>
        <x:patternFill>
          <x:bgColor rgb="FFFFF0C7"/>
        </x:patternFill>
      </x:fill>
    </x:dxf>
    <x:dxf>
      <x:font>
        <x:b/>
        <x:color rgb="FF9C2723"/>
      </x:font>
      <x:fill>
        <x:patternFill>
          <x:bgColor rgb="FFFCE0DF"/>
        </x:patternFill>
      </x:fill>
    </x:dxf>
    <x:dxf>
      <x:font>
        <x:color rgb="FF583D8C"/>
      </x:font>
      <x:fill>
        <x:patternFill>
          <x:bgColor rgb="FFEEE8FA"/>
        </x:patternFill>
      </x:fill>
    </x:dxf>
    <x:dxf>
      <x:font>
        <x:b/>
        <x:color rgb="FF176B3A"/>
      </x:font>
      <x:fill>
        <x:patternFill>
          <x:bgColor rgb="FFDDF3E4"/>
        </x:patternFill>
      </x:fill>
    </x:dxf>
    <x:dxf>
      <x:font>
        <x:b/>
        <x:color rgb="FF7A5700"/>
      </x:font>
      <x:fill>
        <x:patternFill>
          <x:bgColor rgb="FFFFF0C7"/>
        </x:patternFill>
      </x:fill>
    </x:dxf>
    <x:dxf>
      <x:font>
        <x:b/>
        <x:color rgb="FF9C2723"/>
      </x:font>
      <x:fill>
        <x:patternFill>
          <x:bgColor rgb="FFFCE0DF"/>
        </x:patternFill>
      </x:fill>
    </x:dxf>
    <x:dxf>
      <x:font>
        <x:color rgb="FF583D8C"/>
      </x:font>
      <x:fill>
        <x:patternFill>
          <x:bgColor rgb="FFEEE8FA"/>
        </x:patternFill>
      </x:fill>
    </x:dxf>
    <x:dxf>
      <x:font>
        <x:b/>
        <x:color rgb="FF176B3A"/>
      </x:font>
      <x:fill>
        <x:patternFill>
          <x:bgColor rgb="FFDDF3E4"/>
        </x:patternFill>
      </x:fill>
    </x:dxf>
    <x:dxf>
      <x:font>
        <x:b/>
        <x:color rgb="FF7A5700"/>
      </x:font>
      <x:fill>
        <x:patternFill>
          <x:bgColor rgb="FFFFF0C7"/>
        </x:patternFill>
      </x:fill>
    </x:dxf>
    <x:dxf>
      <x:font>
        <x:b/>
        <x:color rgb="FF9C2723"/>
      </x:font>
      <x:fill>
        <x:patternFill>
          <x:bgColor rgb="FFFCE0DF"/>
        </x:patternFill>
      </x:fill>
    </x:dxf>
    <x:dxf>
      <x:font>
        <x:color rgb="FF583D8C"/>
      </x:font>
      <x:fill>
        <x:patternFill>
          <x:bgColor rgb="FFEEE8F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e04300a9474f23" /><Relationship Type="http://schemas.openxmlformats.org/officeDocument/2006/relationships/theme" Target="/xl/theme/theme1.xml" Id="R69ba94f361e14c7f" /><Relationship Type="http://schemas.openxmlformats.org/officeDocument/2006/relationships/sharedStrings" Target="/xl/sharedStrings.xml" Id="R42484f0dcfd841a8" /><Relationship Type="http://schemas.openxmlformats.org/officeDocument/2006/relationships/worksheet" Target="/xl/worksheets/sheet1.xml" Id="R8b20772197ed4e82" /><Relationship Type="http://schemas.openxmlformats.org/officeDocument/2006/relationships/worksheet" Target="/xl/worksheets/sheet2.xml" Id="R95801e3ce6d949f7" /><Relationship Type="http://schemas.openxmlformats.org/officeDocument/2006/relationships/worksheet" Target="/xl/worksheets/sheet3.xml" Id="R444affe9372f4ca0" /></Relationships>
</file>

<file path=xl/tables/table1.xml><?xml version="1.0" encoding="utf-8"?>
<x:table xmlns:x="http://schemas.openxmlformats.org/spreadsheetml/2006/main" id="1" name="TablaFuentesChile" displayName="TablaFuentesChile" ref="A1:Y393" headerRowCount="1" totalsRowCount="0" totalsRowShown="0">
  <x:autoFilter ref="A1:Y393"/>
  <x:tableColumns count="25">
    <x:tableColumn id="1" name="ID"/>
    <x:tableColumn id="2" name="Fuente"/>
    <x:tableColumn id="3" name="Institución responsable"/>
    <x:tableColumn id="4" name="Tipo de fuente"/>
    <x:tableColumn id="5" name="Cobertura"/>
    <x:tableColumn id="6" name="Región"/>
    <x:tableColumn id="7" name="Comuna"/>
    <x:tableColumn id="8" name="Áreas culturales"/>
    <x:tableColumn id="9" name="Canal de publicación"/>
    <x:tableColumn id="10" name="URL de eventos"/>
    <x:tableColumn id="11" name="URL de respaldo / evidencia"/>
    <x:tableColumn id="12" name="Estado de integración"/>
    <x:tableColumn id="13" name="Elegible para porcentaje"/>
    <x:tableColumn id="14" name="Prioridad"/>
    <x:tableColumn id="15" name="Método potencial"/>
    <x:tableColumn id="16" name="Verificada el"/>
    <x:tableColumn id="17" name="Observaciones"/>
    <x:tableColumn id="18" name="Decisión para integración"/>
    <x:tableColumn id="19" name="Puntaje técnico"/>
    <x:tableColumn id="20" name="Confianza"/>
    <x:tableColumn id="21" name="Estado HTTP"/>
    <x:tableColumn id="22" name="robots.txt"/>
    <x:tableColumn id="23" name="URL final validada"/>
    <x:tableColumn id="24" name="Auditada el"/>
    <x:tableColumn id="25" name="Motivo princip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e58e2532804d1c" /></Relationships>
</file>

<file path=xl/worksheets/sheet1.xml><?xml version="1.0" encoding="utf-8"?>
<x:worksheet xmlns:x="http://schemas.openxmlformats.org/spreadsheetml/2006/main">
  <x:sheetPr>
    <x:tabColor rgb="FF15324B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7" hidden="0" customWidth="1"/>
    <x:col min="2" max="2" width="18" hidden="0" customWidth="1"/>
    <x:col min="3" max="3" width="18" hidden="0" customWidth="1"/>
    <x:col min="4" max="4" width="35" hidden="0" customWidth="1"/>
    <x:col min="5" max="5" width="18" hidden="0" customWidth="1"/>
    <x:col min="6" max="6" width="38" hidden="0" customWidth="1"/>
    <x:col min="7" max="7" width="15" hidden="0" customWidth="1"/>
    <x:col min="8" max="8" width="17" hidden="0" customWidth="1"/>
  </x:cols>
  <x:sheetData>
    <x:row r="1" ht="34" customHeight="1">
      <x:c r="A1" s="16" t="str">
        <x:v>Inventario de fuentes de eventos culturales de Chile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18" t="str">
        <x:v>Fuentes digitales y referencias territoriales para ampliar el prototipo de extracción. Estado operativo revisado: 21 de septiembre de 2026.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>
      <x:c r="A4" s="24" t="str">
        <x:v>Indicador</x:v>
      </x:c>
      <x:c r="B4" s="25" t="str">
        <x:v>Valor</x:v>
      </x:c>
      <x:c r="C4" s="1"/>
      <x:c r="D4" s="24" t="str">
        <x:v>Indicador</x:v>
      </x:c>
      <x:c r="E4" s="25" t="str">
        <x:v>Valor</x:v>
      </x:c>
      <x:c r="F4" s="83" t="str">
        <x:v>Integración correcta</x:v>
      </x:c>
      <x:c r="G4" s="84" t="str">
        <x:v>Valor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26" t="str">
        <x:v>Registros del inventario</x:v>
      </x:c>
      <x:c r="B5" s="27" t="n">
        <x:f>COUNTA(Fuentes!$A$2:$A$393)</x:f>
        <x:v>392</x:v>
      </x:c>
      <x:c r="C5" s="1"/>
      <x:c r="D5" s="26" t="str">
        <x:v>Revisión manual</x:v>
      </x:c>
      <x:c r="E5" s="27" t="n">
        <x:f>COUNTIF(Fuentes!$R$2:$R$393,"Revisión manual")</x:f>
        <x:v>37</x:v>
      </x:c>
      <x:c r="F5" s="87" t="str">
        <x:v>Integraciones operativas</x:v>
      </x:c>
      <x:c r="G5" s="89" t="n">
        <x:f>COUNTIF(Fuentes!$L$2:$L$393,"Integrada operativa")+COUNTIF(Fuentes!$L$2:$L$393,"Integrada operativa sin eventos vigentes")+COUNTIF(Fuentes!$L$2:$L$393,"Integrada operativa (revisión manual)")+COUNTIF(Fuentes!$L$2:$L$393,"Integrada activa (corregida)")+COUNTIF(Fuentes!$L$2:$L$393,"Integrada operativa estacional")</x:f>
        <x:v>22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34" customHeight="1">
      <x:c r="A6" s="26" t="str">
        <x:v>Fuentes digitales evaluadas</x:v>
      </x:c>
      <x:c r="B6" s="27" t="n">
        <x:f>COUNTIF(Fuentes!$R$2:$R$393,"Aprobada técnicamente")+COUNTIF(Fuentes!$R$2:$R$393,"Revisión manual")+COUNTIF(Fuentes!$R$2:$R$393,"No aprobada")</x:f>
        <x:v>105</x:v>
      </x:c>
      <x:c r="C6" s="1"/>
      <x:c r="D6" s="26" t="str">
        <x:v>No aprobadas</x:v>
      </x:c>
      <x:c r="E6" s="27" t="n">
        <x:f>COUNTIF(Fuentes!$R$2:$R$393,"No aprobada")</x:f>
        <x:v>2</x:v>
      </x:c>
      <x:c r="F6" s="87" t="str">
        <x:v>Operativas y aprobadas técnicamente</x:v>
      </x:c>
      <x:c r="G6" s="89" t="n">
        <x:f>COUNTIFS(Fuentes!$L$2:$L$393,"Integrada operativa",Fuentes!$R$2:$R$393,"Aprobada técnicamente")+COUNTIFS(Fuentes!$L$2:$L$393,"Integrada operativa sin eventos vigentes",Fuentes!$R$2:$R$393,"Aprobada técnicamente")+COUNTIFS(Fuentes!$L$2:$L$393,"Integrada operativa (revisión manual)",Fuentes!$R$2:$R$393,"Aprobada técnicamente")+COUNTIFS(Fuentes!$L$2:$L$393,"Integrada activa (corregida)",Fuentes!$R$2:$R$393,"Aprobada técnicamente")+COUNTIFS(Fuentes!$L$2:$L$393,"Integrada operativa estacional",Fuentes!$R$2:$R$393,"Aprobada técnicamente")</x:f>
        <x:v>18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34" customHeight="1">
      <x:c r="A7" s="26" t="str">
        <x:v>Aprobadas técnicamente</x:v>
      </x:c>
      <x:c r="B7" s="27" t="n">
        <x:f>COUNTIF(Fuentes!$R$2:$R$393,"Aprobada técnicamente")</x:f>
        <x:v>66</x:v>
      </x:c>
      <x:c r="C7" s="1"/>
      <x:c r="D7" s="26" t="str">
        <x:v>Referencias sin agenda</x:v>
      </x:c>
      <x:c r="E7" s="27" t="n">
        <x:f>COUNTIF(Fuentes!$R$2:$R$393,"Referencia sin agenda")</x:f>
        <x:v>286</x:v>
      </x:c>
      <x:c r="F7" s="87" t="str">
        <x:v>Avance aprobado sobre fuentes digitales</x:v>
      </x:c>
      <x:c r="G7" s="93" t="n">
        <x:f>IF(B6=0,0,G6/B6)</x:f>
        <x:v>0.17142857142857143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34" customHeight="1">
      <x:c r="A8" s="28" t="str">
        <x:v>Porcentaje digital aprobado</x:v>
      </x:c>
      <x:c r="B8" s="29" t="n">
        <x:f>IF(B6=0,0,B7/B6)</x:f>
        <x:v>0.6285714285714286</x:v>
      </x:c>
      <x:c r="C8" s="1"/>
      <x:c r="D8" s="28" t="str">
        <x:v>Regiones representadas</x:v>
      </x:c>
      <x:c r="E8" s="30" t="n">
        <x:f>COUNTIF(B14:B29,"&gt;0")</x:f>
        <x:v>16</x:v>
      </x:c>
      <x:c r="F8" s="88" t="str">
        <x:v>Proporción aprobada entre integraciones operativas</x:v>
      </x:c>
      <x:c r="G8" s="29" t="n">
        <x:f>IF(G5=0,0,G6/G5)</x:f>
        <x:v>0.8181818181818182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>
      <x:c r="A11" s="3" t="str">
        <x:v>Región / alcance</x:v>
      </x:c>
      <x:c r="B11" s="3" t="str">
        <x:v>Total</x:v>
      </x:c>
      <x:c r="C11" s="3" t="str">
        <x:v>Digital elegible</x:v>
      </x:c>
      <x:c r="D11" s="3" t="str">
        <x:v>Aprobada técnicamente</x:v>
      </x:c>
      <x:c r="E11" s="1"/>
      <x:c r="F11" s="3" t="str">
        <x:v>Decisión de validación</x:v>
      </x:c>
      <x:c r="G11" s="3" t="str">
        <x:v>Cantidad</x:v>
      </x:c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>
      <x:c r="A12" s="1" t="str">
        <x:v>Todas</x:v>
      </x:c>
      <x:c r="B12" s="32" t="n">
        <x:f>COUNTIF(Fuentes!$F$2:$F$393,A12)</x:f>
        <x:v>18</x:v>
      </x:c>
      <x:c r="C12" s="32" t="n">
        <x:f>COUNTIFS(Fuentes!$F$2:$F$393,A12,Fuentes!$M$2:$M$393,"Sí")</x:f>
        <x:v>18</x:v>
      </x:c>
      <x:c r="D12" s="32" t="n">
        <x:f>COUNTIFS(Fuentes!$F$2:$F$393,A12,Fuentes!$R$2:$R$393,"Aprobada técnicamente")</x:f>
        <x:v>9</x:v>
      </x:c>
      <x:c r="E12" s="1"/>
      <x:c r="F12" s="19" t="str">
        <x:v>Aprobada técnicamente</x:v>
      </x:c>
      <x:c r="G12" s="32" t="n">
        <x:f>COUNTIF(Fuentes!$R$2:$R$393,F12)</x:f>
        <x:v>66</x:v>
      </x:c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>
      <x:c r="A13" s="1" t="str">
        <x:v>Varias</x:v>
      </x:c>
      <x:c r="B13" s="32" t="n">
        <x:f>COUNTIF(Fuentes!$F$2:$F$393,A13)</x:f>
        <x:v>6</x:v>
      </x:c>
      <x:c r="C13" s="32" t="n">
        <x:f>COUNTIFS(Fuentes!$F$2:$F$393,A13,Fuentes!$M$2:$M$393,"Sí")</x:f>
        <x:v>6</x:v>
      </x:c>
      <x:c r="D13" s="32" t="n">
        <x:f>COUNTIFS(Fuentes!$F$2:$F$393,A13,Fuentes!$R$2:$R$393,"Aprobada técnicamente")</x:f>
        <x:v>5</x:v>
      </x:c>
      <x:c r="E13" s="1"/>
      <x:c r="F13" s="19" t="str">
        <x:v>Revisión manual</x:v>
      </x:c>
      <x:c r="G13" s="32" t="n">
        <x:f>COUNTIF(Fuentes!$R$2:$R$393,F13)</x:f>
        <x:v>37</x:v>
      </x:c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>
      <x:c r="A14" s="1" t="str">
        <x:v>Región de Arica y Parinacota</x:v>
      </x:c>
      <x:c r="B14" s="32" t="n">
        <x:f>COUNTIF(Fuentes!$F$2:$F$393,A14)</x:f>
        <x:v>16</x:v>
      </x:c>
      <x:c r="C14" s="32" t="n">
        <x:f>COUNTIFS(Fuentes!$F$2:$F$393,A14,Fuentes!$M$2:$M$393,"Sí")</x:f>
        <x:v>2</x:v>
      </x:c>
      <x:c r="D14" s="32" t="n">
        <x:f>COUNTIFS(Fuentes!$F$2:$F$393,A14,Fuentes!$R$2:$R$393,"Aprobada técnicamente")</x:f>
        <x:v>1</x:v>
      </x:c>
      <x:c r="E14" s="1"/>
      <x:c r="F14" s="19" t="str">
        <x:v>No aprobada</x:v>
      </x:c>
      <x:c r="G14" s="32" t="n">
        <x:f>COUNTIF(Fuentes!$R$2:$R$393,F14)</x:f>
        <x:v>2</x:v>
      </x:c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>
      <x:c r="A15" s="1" t="str">
        <x:v>Región de Tarapacá</x:v>
      </x:c>
      <x:c r="B15" s="32" t="n">
        <x:f>COUNTIF(Fuentes!$F$2:$F$393,A15)</x:f>
        <x:v>16</x:v>
      </x:c>
      <x:c r="C15" s="32" t="n">
        <x:f>COUNTIFS(Fuentes!$F$2:$F$393,A15,Fuentes!$M$2:$M$393,"Sí")</x:f>
        <x:v>3</x:v>
      </x:c>
      <x:c r="D15" s="32" t="n">
        <x:f>COUNTIFS(Fuentes!$F$2:$F$393,A15,Fuentes!$R$2:$R$393,"Aprobada técnicamente")</x:f>
        <x:v>1</x:v>
      </x:c>
      <x:c r="E15" s="1"/>
      <x:c r="F15" s="34" t="str">
        <x:v>Referencia sin agenda</x:v>
      </x:c>
      <x:c r="G15" s="33" t="n">
        <x:f>COUNTIF(Fuentes!$R$2:$R$393,F15)</x:f>
        <x:v>286</x:v>
      </x:c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>
      <x:c r="A16" s="1" t="str">
        <x:v>Región de Antofagasta</x:v>
      </x:c>
      <x:c r="B16" s="32" t="n">
        <x:f>COUNTIF(Fuentes!$F$2:$F$393,A16)</x:f>
        <x:v>11</x:v>
      </x:c>
      <x:c r="C16" s="32" t="n">
        <x:f>COUNTIFS(Fuentes!$F$2:$F$393,A16,Fuentes!$M$2:$M$393,"Sí")</x:f>
        <x:v>3</x:v>
      </x:c>
      <x:c r="D16" s="32" t="n">
        <x:f>COUNTIFS(Fuentes!$F$2:$F$393,A16,Fuentes!$R$2:$R$393,"Aprobada técnicamente")</x:f>
        <x:v>3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>
      <x:c r="A17" s="1" t="str">
        <x:v>Región de Atacama</x:v>
      </x:c>
      <x:c r="B17" s="32" t="n">
        <x:f>COUNTIF(Fuentes!$F$2:$F$393,A17)</x:f>
        <x:v>11</x:v>
      </x:c>
      <x:c r="C17" s="32" t="n">
        <x:f>COUNTIFS(Fuentes!$F$2:$F$393,A17,Fuentes!$M$2:$M$393,"Sí")</x:f>
        <x:v>2</x:v>
      </x:c>
      <x:c r="D17" s="32" t="n">
        <x:f>COUNTIFS(Fuentes!$F$2:$F$393,A17,Fuentes!$R$2:$R$393,"Aprobada técnicamente")</x:f>
        <x:v>2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>
      <x:c r="A18" s="1" t="str">
        <x:v>Región de Coquimbo</x:v>
      </x:c>
      <x:c r="B18" s="32" t="n">
        <x:f>COUNTIF(Fuentes!$F$2:$F$393,A18)</x:f>
        <x:v>21</x:v>
      </x:c>
      <x:c r="C18" s="32" t="n">
        <x:f>COUNTIFS(Fuentes!$F$2:$F$393,A18,Fuentes!$M$2:$M$393,"Sí")</x:f>
        <x:v>4</x:v>
      </x:c>
      <x:c r="D18" s="32" t="n">
        <x:f>COUNTIFS(Fuentes!$F$2:$F$393,A18,Fuentes!$R$2:$R$393,"Aprobada técnicamente")</x:f>
        <x:v>1</x:v>
      </x:c>
      <x:c r="E18" s="1"/>
      <x:c r="F18" s="36" t="str">
        <x:v>Cómo interpretar la decisión</x:v>
      </x:c>
      <x:c r="G18" s="1" t="str">
        <x:v>Cómo interpretar la decisión</x:v>
      </x:c>
      <x:c r="H18" s="1" t="str">
        <x:v>Cómo interpretar la decisión</x:v>
      </x:c>
      <x:c r="I18" s="1"/>
      <x:c r="J18" s="1"/>
      <x:c r="K18" s="1"/>
      <x:c r="L18" s="1"/>
      <x:c r="M18" s="1"/>
      <x:c r="N18" s="1"/>
      <x:c r="O18" s="1"/>
      <x:c r="P18" s="1"/>
      <x:c r="Q18" s="1"/>
    </x:row>
    <x:row r="19">
      <x:c r="A19" s="1" t="str">
        <x:v>Región de Valparaíso</x:v>
      </x:c>
      <x:c r="B19" s="32" t="n">
        <x:f>COUNTIF(Fuentes!$F$2:$F$393,A19)</x:f>
        <x:v>39</x:v>
      </x:c>
      <x:c r="C19" s="32" t="n">
        <x:f>COUNTIFS(Fuentes!$F$2:$F$393,A19,Fuentes!$M$2:$M$393,"Sí")</x:f>
        <x:v>8</x:v>
      </x:c>
      <x:c r="D19" s="32" t="n">
        <x:f>COUNTIFS(Fuentes!$F$2:$F$393,A19,Fuentes!$R$2:$R$393,"Aprobada técnicamente")</x:f>
        <x:v>7</x:v>
      </x:c>
      <x:c r="E19" s="1"/>
      <x:c r="F19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G19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H19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I19" s="1"/>
      <x:c r="J19" s="1"/>
      <x:c r="K19" s="1"/>
      <x:c r="L19" s="1"/>
      <x:c r="M19" s="1"/>
      <x:c r="N19" s="1"/>
      <x:c r="O19" s="1"/>
      <x:c r="P19" s="1"/>
      <x:c r="Q19" s="1"/>
    </x:row>
    <x:row r="20">
      <x:c r="A20" s="1" t="str">
        <x:v>Región Metropolitana de Santiago</x:v>
      </x:c>
      <x:c r="B20" s="32" t="n">
        <x:f>COUNTIF(Fuentes!$F$2:$F$393,A20)</x:f>
        <x:v>40</x:v>
      </x:c>
      <x:c r="C20" s="32" t="n">
        <x:f>COUNTIFS(Fuentes!$F$2:$F$393,A20,Fuentes!$M$2:$M$393,"Sí")</x:f>
        <x:v>27</x:v>
      </x:c>
      <x:c r="D20" s="32" t="n">
        <x:f>COUNTIFS(Fuentes!$F$2:$F$393,A20,Fuentes!$R$2:$R$393,"Aprobada técnicamente")</x:f>
        <x:v>19</x:v>
      </x:c>
      <x:c r="E20" s="1"/>
      <x:c r="F20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G20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H20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I20" s="1"/>
      <x:c r="J20" s="1"/>
      <x:c r="K20" s="1"/>
      <x:c r="L20" s="1"/>
      <x:c r="M20" s="1"/>
      <x:c r="N20" s="1"/>
      <x:c r="O20" s="1"/>
      <x:c r="P20" s="1"/>
      <x:c r="Q20" s="1"/>
    </x:row>
    <x:row r="21">
      <x:c r="A21" s="1" t="str">
        <x:v>Región del Libertador General Bernardo O'Higgins</x:v>
      </x:c>
      <x:c r="B21" s="32" t="n">
        <x:f>COUNTIF(Fuentes!$F$2:$F$393,A21)</x:f>
        <x:v>24</x:v>
      </x:c>
      <x:c r="C21" s="32" t="n">
        <x:f>COUNTIFS(Fuentes!$F$2:$F$393,A21,Fuentes!$M$2:$M$393,"Sí")</x:f>
        <x:v>2</x:v>
      </x:c>
      <x:c r="D21" s="32" t="n">
        <x:f>COUNTIFS(Fuentes!$F$2:$F$393,A21,Fuentes!$R$2:$R$393,"Aprobada técnicamente")</x:f>
        <x:v>1</x:v>
      </x:c>
      <x:c r="E21" s="1"/>
      <x:c r="F21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G21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H21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I21" s="1"/>
      <x:c r="J21" s="1"/>
      <x:c r="K21" s="1"/>
      <x:c r="L21" s="1"/>
      <x:c r="M21" s="1"/>
      <x:c r="N21" s="1"/>
      <x:c r="O21" s="1"/>
      <x:c r="P21" s="1"/>
      <x:c r="Q21" s="1"/>
    </x:row>
    <x:row r="22">
      <x:c r="A22" s="1" t="str">
        <x:v>Región del Maule</x:v>
      </x:c>
      <x:c r="B22" s="32" t="n">
        <x:f>COUNTIF(Fuentes!$F$2:$F$393,A22)</x:f>
        <x:v>60</x:v>
      </x:c>
      <x:c r="C22" s="32" t="n">
        <x:f>COUNTIFS(Fuentes!$F$2:$F$393,A22,Fuentes!$M$2:$M$393,"Sí")</x:f>
        <x:v>3</x:v>
      </x:c>
      <x:c r="D22" s="32" t="n">
        <x:f>COUNTIFS(Fuentes!$F$2:$F$393,A22,Fuentes!$R$2:$R$393,"Aprobada técnicamente")</x:f>
        <x:v>2</x:v>
      </x:c>
      <x:c r="E22" s="1"/>
      <x:c r="F22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G22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H22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I22" s="1"/>
      <x:c r="J22" s="1"/>
      <x:c r="K22" s="1"/>
      <x:c r="L22" s="1"/>
      <x:c r="M22" s="1"/>
      <x:c r="N22" s="1"/>
      <x:c r="O22" s="1"/>
      <x:c r="P22" s="1"/>
      <x:c r="Q22" s="1"/>
    </x:row>
    <x:row r="23">
      <x:c r="A23" s="1" t="str">
        <x:v>Región de Ñuble</x:v>
      </x:c>
      <x:c r="B23" s="32" t="n">
        <x:f>COUNTIF(Fuentes!$F$2:$F$393,A23)</x:f>
        <x:v>16</x:v>
      </x:c>
      <x:c r="C23" s="32" t="n">
        <x:f>COUNTIFS(Fuentes!$F$2:$F$393,A23,Fuentes!$M$2:$M$393,"Sí")</x:f>
        <x:v>2</x:v>
      </x:c>
      <x:c r="D23" s="32" t="n">
        <x:f>COUNTIFS(Fuentes!$F$2:$F$393,A23,Fuentes!$R$2:$R$393,"Aprobada técnicamente")</x:f>
        <x:v>1</x:v>
      </x:c>
      <x:c r="E23" s="1"/>
      <x:c r="F23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G23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H23" s="39" t="str">
        <x:v>Aprobada técnicamente significa que la fuente cumple las reglas automáticas de acceso, relevancia cultural, cobertura chilena y señales de agenda. No equivale a una licencia legal de reutilización. Antes de integrarla de forma permanente deben revisarse sus términos de uso. Revisión manual agrupa páginas dinámicas, bloqueadas o con evidencia insuficiente.</x:v>
      </x:c>
      <x:c r="I23" s="1"/>
      <x:c r="J23" s="1"/>
      <x:c r="K23" s="1"/>
      <x:c r="L23" s="1"/>
      <x:c r="M23" s="1"/>
      <x:c r="N23" s="1"/>
      <x:c r="O23" s="1"/>
      <x:c r="P23" s="1"/>
      <x:c r="Q23" s="1"/>
    </x:row>
    <x:row r="24">
      <x:c r="A24" s="1" t="str">
        <x:v>Región del Biobío</x:v>
      </x:c>
      <x:c r="B24" s="32" t="n">
        <x:f>COUNTIF(Fuentes!$F$2:$F$393,A24)</x:f>
        <x:v>34</x:v>
      </x:c>
      <x:c r="C24" s="32" t="n">
        <x:f>COUNTIFS(Fuentes!$F$2:$F$393,A24,Fuentes!$M$2:$M$393,"Sí")</x:f>
        <x:v>7</x:v>
      </x:c>
      <x:c r="D24" s="32" t="n">
        <x:f>COUNTIFS(Fuentes!$F$2:$F$393,A24,Fuentes!$R$2:$R$393,"Aprobada técnicamente")</x:f>
        <x:v>5</x:v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>
      <x:c r="A25" s="1" t="str">
        <x:v>Región de La Araucanía</x:v>
      </x:c>
      <x:c r="B25" s="32" t="n">
        <x:f>COUNTIF(Fuentes!$F$2:$F$393,A25)</x:f>
        <x:v>27</x:v>
      </x:c>
      <x:c r="C25" s="32" t="n">
        <x:f>COUNTIFS(Fuentes!$F$2:$F$393,A25,Fuentes!$M$2:$M$393,"Sí")</x:f>
        <x:v>3</x:v>
      </x:c>
      <x:c r="D25" s="32" t="n">
        <x:f>COUNTIFS(Fuentes!$F$2:$F$393,A25,Fuentes!$R$2:$R$393,"Aprobada técnicamente")</x:f>
        <x:v>2</x:v>
      </x:c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>
      <x:c r="A26" s="1" t="str">
        <x:v>Región de Los Ríos</x:v>
      </x:c>
      <x:c r="B26" s="32" t="n">
        <x:f>COUNTIF(Fuentes!$F$2:$F$393,A26)</x:f>
        <x:v>10</x:v>
      </x:c>
      <x:c r="C26" s="32" t="n">
        <x:f>COUNTIFS(Fuentes!$F$2:$F$393,A26,Fuentes!$M$2:$M$393,"Sí")</x:f>
        <x:v>3</x:v>
      </x:c>
      <x:c r="D26" s="32" t="n">
        <x:f>COUNTIFS(Fuentes!$F$2:$F$393,A26,Fuentes!$R$2:$R$393,"Aprobada técnicamente")</x:f>
        <x:v>2</x:v>
      </x:c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>
      <x:c r="A27" s="1" t="str">
        <x:v>Región de Los Lagos</x:v>
      </x:c>
      <x:c r="B27" s="32" t="n">
        <x:f>COUNTIF(Fuentes!$F$2:$F$393,A27)</x:f>
        <x:v>22</x:v>
      </x:c>
      <x:c r="C27" s="32" t="n">
        <x:f>COUNTIFS(Fuentes!$F$2:$F$393,A27,Fuentes!$M$2:$M$393,"Sí")</x:f>
        <x:v>5</x:v>
      </x:c>
      <x:c r="D27" s="32" t="n">
        <x:f>COUNTIFS(Fuentes!$F$2:$F$393,A27,Fuentes!$R$2:$R$393,"Aprobada técnicamente")</x:f>
        <x:v>1</x:v>
      </x:c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>
      <x:c r="A28" s="1" t="str">
        <x:v>Región de Aysén del General Carlos Ibáñez del Campo</x:v>
      </x:c>
      <x:c r="B28" s="32" t="n">
        <x:f>COUNTIF(Fuentes!$F$2:$F$393,A28)</x:f>
        <x:v>6</x:v>
      </x:c>
      <x:c r="C28" s="32" t="n">
        <x:f>COUNTIFS(Fuentes!$F$2:$F$393,A28,Fuentes!$M$2:$M$393,"Sí")</x:f>
        <x:v>3</x:v>
      </x:c>
      <x:c r="D28" s="32" t="n">
        <x:f>COUNTIFS(Fuentes!$F$2:$F$393,A28,Fuentes!$R$2:$R$393,"Aprobada técnicamente")</x:f>
        <x:v>2</x:v>
      </x:c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>
      <x:c r="A29" s="31" t="str">
        <x:v>Región de Magallanes y de la Antártica Chilena</x:v>
      </x:c>
      <x:c r="B29" s="33" t="n">
        <x:f>COUNTIF(Fuentes!$F$2:$F$393,A29)</x:f>
        <x:v>13</x:v>
      </x:c>
      <x:c r="C29" s="33" t="n">
        <x:f>COUNTIFS(Fuentes!$F$2:$F$393,A29,Fuentes!$M$2:$M$393,"Sí")</x:f>
        <x:v>3</x:v>
      </x:c>
      <x:c r="D29" s="33" t="n">
        <x:f>COUNTIFS(Fuentes!$F$2:$F$393,A29,Fuentes!$R$2:$R$393,"Aprobada técnicamente")</x:f>
        <x:v>0</x:v>
      </x:c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</x:row>
  </x:sheetData>
  <x:mergeCells>
    <x:mergeCell ref="A1:H1"/>
    <x:mergeCell ref="A2:H2"/>
    <x:mergeCell ref="F18:H18"/>
    <x:mergeCell ref="F19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B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30" hidden="0" customWidth="1"/>
    <x:col min="3" max="3" width="30" hidden="0" customWidth="1"/>
    <x:col min="4" max="4" width="25" hidden="0" customWidth="1"/>
    <x:col min="5" max="5" width="18" hidden="0" customWidth="1"/>
    <x:col min="6" max="6" width="27" hidden="0" customWidth="1"/>
    <x:col min="7" max="7" width="18" hidden="0" customWidth="1"/>
    <x:col min="8" max="8" width="31" hidden="0" customWidth="1"/>
    <x:col min="9" max="9" width="21" hidden="0" customWidth="1"/>
    <x:col min="10" max="10" width="37" hidden="0" customWidth="1"/>
    <x:col min="11" max="11" width="38" hidden="0" customWidth="1"/>
    <x:col min="12" max="12" width="21" hidden="0" customWidth="1"/>
    <x:col min="13" max="13" width="18" hidden="0" customWidth="1"/>
    <x:col min="14" max="14" width="11" hidden="0" customWidth="1"/>
    <x:col min="15" max="15" width="18" hidden="0" customWidth="1"/>
    <x:col min="16" max="16" width="14" hidden="0" customWidth="1"/>
    <x:col min="17" max="17" width="48" hidden="0" customWidth="1"/>
    <x:col min="18" max="18" width="25" hidden="0" customWidth="1"/>
    <x:col min="19" max="19" width="14" hidden="0" customWidth="1"/>
    <x:col min="20" max="20" width="12" hidden="0" customWidth="1"/>
    <x:col min="21" max="21" width="13" hidden="0" customWidth="1"/>
    <x:col min="22" max="22" width="13" hidden="0" customWidth="1"/>
    <x:col min="23" max="23" width="38" hidden="0" customWidth="1"/>
    <x:col min="24" max="24" width="19" hidden="0" customWidth="1"/>
    <x:col min="25" max="25" width="55" hidden="0" customWidth="1"/>
  </x:cols>
  <x:sheetData>
    <x:row r="1" ht="34" customHeight="1">
      <x:c r="A1" s="5" t="str">
        <x:v>ID</x:v>
      </x:c>
      <x:c r="B1" s="5" t="str">
        <x:v>Fuente</x:v>
      </x:c>
      <x:c r="C1" s="5" t="str">
        <x:v>Institución responsable</x:v>
      </x:c>
      <x:c r="D1" s="5" t="str">
        <x:v>Tipo de fuente</x:v>
      </x:c>
      <x:c r="E1" s="5" t="str">
        <x:v>Cobertura</x:v>
      </x:c>
      <x:c r="F1" s="5" t="str">
        <x:v>Región</x:v>
      </x:c>
      <x:c r="G1" s="5" t="str">
        <x:v>Comuna</x:v>
      </x:c>
      <x:c r="H1" s="5" t="str">
        <x:v>Áreas culturales</x:v>
      </x:c>
      <x:c r="I1" s="5" t="str">
        <x:v>Canal de publicación</x:v>
      </x:c>
      <x:c r="J1" s="5" t="str">
        <x:v>URL de eventos</x:v>
      </x:c>
      <x:c r="K1" s="5" t="str">
        <x:v>URL de respaldo / evidencia</x:v>
      </x:c>
      <x:c r="L1" s="5" t="str">
        <x:v>Estado de integración</x:v>
      </x:c>
      <x:c r="M1" s="5" t="str">
        <x:v>Elegible para porcentaje</x:v>
      </x:c>
      <x:c r="N1" s="5" t="str">
        <x:v>Prioridad</x:v>
      </x:c>
      <x:c r="O1" s="5" t="str">
        <x:v>Método potencial</x:v>
      </x:c>
      <x:c r="P1" s="5" t="str">
        <x:v>Verificada el</x:v>
      </x:c>
      <x:c r="Q1" s="5" t="str">
        <x:v>Observaciones</x:v>
      </x:c>
      <x:c r="R1" s="82" t="str">
        <x:v>Decisión para integración</x:v>
      </x:c>
      <x:c r="S1" s="82" t="str">
        <x:v>Puntaje técnico</x:v>
      </x:c>
      <x:c r="T1" s="82" t="str">
        <x:v>Confianza</x:v>
      </x:c>
      <x:c r="U1" s="82" t="str">
        <x:v>Estado HTTP</x:v>
      </x:c>
      <x:c r="V1" s="82" t="str">
        <x:v>robots.txt</x:v>
      </x:c>
      <x:c r="W1" s="82" t="str">
        <x:v>URL final validada</x:v>
      </x:c>
      <x:c r="X1" s="82" t="str">
        <x:v>Auditada el</x:v>
      </x:c>
      <x:c r="Y1" s="82" t="str">
        <x:v>Motivo principal</x:v>
      </x:c>
    </x:row>
    <x:row r="2" ht="42" customHeight="1">
      <x:c r="A2" s="9" t="str">
        <x:v>CL-FUE-0001</x:v>
      </x:c>
      <x:c r="B2" s="7" t="str">
        <x:v>Agenda Universidad de Talca</x:v>
      </x:c>
      <x:c r="C2" s="7" t="str">
        <x:v>Universidad de Talca</x:v>
      </x:c>
      <x:c r="D2" s="7" t="str">
        <x:v>Fuente configurada en el prototipo</x:v>
      </x:c>
      <x:c r="E2" s="7" t="str">
        <x:v>Según fuente</x:v>
      </x:c>
      <x:c r="F2" s="7" t="str">
        <x:v>Región del Maule</x:v>
      </x:c>
      <x:c r="G2" s="7" t="str">
        <x:v>Talca</x:v>
      </x:c>
      <x:c r="H2" s="7" t="str">
        <x:v>Cultura</x:v>
      </x:c>
      <x:c r="I2" s="7" t="str">
        <x:v>Conector del prototipo</x:v>
      </x:c>
      <x:c r="J2" s="10" t="str">
        <x:v>https://agenda.utalca.cl/</x:v>
      </x:c>
      <x:c r="K2" s="10" t="str">
        <x:v>https://agenda.utalca.cl/</x:v>
      </x:c>
      <x:c r="L2" s="7" t="str">
        <x:v>Integrada operativa</x:v>
      </x:c>
      <x:c r="M2" s="7" t="str">
        <x:v>Sí</x:v>
      </x:c>
      <x:c r="N2" s="7" t="str">
        <x:v>Alta</x:v>
      </x:c>
      <x:c r="O2" s="7" t="str">
        <x:v>html_cards</x:v>
      </x:c>
      <x:c r="P2" s="8" t="n">
        <x:v>46270.666666666664</x:v>
      </x:c>
      <x:c r="Q2" s="7" t="str">
        <x:v>Ejecución reciente: conector funcional.</x:v>
      </x:c>
      <x:c r="R2" s="58" t="str">
        <x:v>Aprobada técnicamente</x:v>
      </x:c>
      <x:c r="S2" s="60" t="n">
        <x:v>93</x:v>
      </x:c>
      <x:c r="T2" s="58" t="str">
        <x:v>alta</x:v>
      </x:c>
      <x:c r="U2" s="60" t="n">
        <x:v>200</x:v>
      </x:c>
      <x:c r="V2" s="58" t="str">
        <x:v>Permite</x:v>
      </x:c>
      <x:c r="W2" s="64" t="str">
        <x:v>https://agenda.utalca.cl/</x:v>
      </x:c>
      <x:c r="X2" s="94" t="n">
        <x:v>46279.625</x:v>
      </x:c>
      <x:c r="Y2" s="58" t="str">
        <x:v>Operativa: agenda accesible y con señales de eventos.</x:v>
      </x:c>
    </x:row>
    <x:row r="3" ht="42" customHeight="1">
      <x:c r="A3" s="9" t="str">
        <x:v>CL-FUE-0002</x:v>
      </x:c>
      <x:c r="B3" s="7" t="str">
        <x:v>Centro Cultural La Moneda</x:v>
      </x:c>
      <x:c r="C3" s="7" t="str">
        <x:v>Centro Cultural La Moneda</x:v>
      </x:c>
      <x:c r="D3" s="7" t="str">
        <x:v>Fuente configurada en el prototipo</x:v>
      </x:c>
      <x:c r="E3" s="7" t="str">
        <x:v>Según fuente</x:v>
      </x:c>
      <x:c r="F3" s="7" t="str">
        <x:v>Región Metropolitana de Santiago</x:v>
      </x:c>
      <x:c r="G3" s="7" t="str">
        <x:v>Santiago</x:v>
      </x:c>
      <x:c r="H3" s="7" t="str">
        <x:v>Cultura</x:v>
      </x:c>
      <x:c r="I3" s="7" t="str">
        <x:v>Conector del prototipo</x:v>
      </x:c>
      <x:c r="J3" s="10" t="str">
        <x:v>https://www.cclm.cl/actividades-y-talleres/</x:v>
      </x:c>
      <x:c r="K3" s="10" t="str">
        <x:v>https://www.cclm.cl/actividades-y-talleres/</x:v>
      </x:c>
      <x:c r="L3" s="7" t="str">
        <x:v>Integrada operativa</x:v>
      </x:c>
      <x:c r="M3" s="7" t="str">
        <x:v>Sí</x:v>
      </x:c>
      <x:c r="N3" s="7" t="str">
        <x:v>Alta</x:v>
      </x:c>
      <x:c r="O3" s="7" t="str">
        <x:v>html_cards</x:v>
      </x:c>
      <x:c r="P3" s="8" t="n">
        <x:v>46270.666666666664</x:v>
      </x:c>
      <x:c r="Q3" s="7" t="str">
        <x:v>Ejecución reciente: conector funcional.</x:v>
      </x:c>
      <x:c r="R3" s="58" t="str">
        <x:v>Aprobada técnicamente</x:v>
      </x:c>
      <x:c r="S3" s="60" t="n">
        <x:v>99</x:v>
      </x:c>
      <x:c r="T3" s="58" t="str">
        <x:v>alta</x:v>
      </x:c>
      <x:c r="U3" s="60" t="n">
        <x:v>200</x:v>
      </x:c>
      <x:c r="V3" s="58" t="str">
        <x:v>Permite</x:v>
      </x:c>
      <x:c r="W3" s="64" t="str">
        <x:v>https://www.cclm.cl/actividades-y-talleres/</x:v>
      </x:c>
      <x:c r="X3" s="94" t="n">
        <x:v>46279.625</x:v>
      </x:c>
      <x:c r="Y3" s="58" t="str">
        <x:v>Operativa: agenda accesible y con señales de eventos.</x:v>
      </x:c>
    </x:row>
    <x:row r="4" ht="42" customHeight="1">
      <x:c r="A4" s="9" t="str">
        <x:v>CL-FUE-0003</x:v>
      </x:c>
      <x:c r="B4" s="7" t="str">
        <x:v>Chile Cultura</x:v>
      </x:c>
      <x:c r="C4" s="7" t="str">
        <x:v>Chile Cultura</x:v>
      </x:c>
      <x:c r="D4" s="7" t="str">
        <x:v>Fuente configurada en el prototipo</x:v>
      </x:c>
      <x:c r="E4" s="7" t="str">
        <x:v>Según fuente</x:v>
      </x:c>
      <x:c r="F4" s="7" t="str">
        <x:v>Todas</x:v>
      </x:c>
      <x:c r="G4" s="7" t="str"/>
      <x:c r="H4" s="7" t="str">
        <x:v>Multidisciplinario</x:v>
      </x:c>
      <x:c r="I4" s="7" t="str">
        <x:v>Conector del prototipo</x:v>
      </x:c>
      <x:c r="J4" s="10" t="str">
        <x:v>https://chilecultura.gob.cl/</x:v>
      </x:c>
      <x:c r="K4" s="10" t="str">
        <x:v>https://chilecultura.gob.cl/</x:v>
      </x:c>
      <x:c r="L4" s="7" t="str">
        <x:v>Integrada operativa</x:v>
      </x:c>
      <x:c r="M4" s="7" t="str">
        <x:v>Sí</x:v>
      </x:c>
      <x:c r="N4" s="7" t="str">
        <x:v>Alta</x:v>
      </x:c>
      <x:c r="O4" s="7" t="str">
        <x:v>chilecultura_api</x:v>
      </x:c>
      <x:c r="P4" s="8" t="n">
        <x:v>46270.666666666664</x:v>
      </x:c>
      <x:c r="Q4" s="7" t="str">
        <x:v>Ejecución reciente: API nacional funcional.</x:v>
      </x:c>
      <x:c r="R4" s="58" t="str">
        <x:v>Aprobada técnicamente</x:v>
      </x:c>
      <x:c r="S4" s="60" t="n">
        <x:v>86</x:v>
      </x:c>
      <x:c r="T4" s="58" t="str">
        <x:v>alta</x:v>
      </x:c>
      <x:c r="U4" s="60" t="n">
        <x:v>200</x:v>
      </x:c>
      <x:c r="V4" s="58" t="str">
        <x:v>Sin dato</x:v>
      </x:c>
      <x:c r="W4" s="64" t="str">
        <x:v>https://chilecultura.gob.cl/</x:v>
      </x:c>
      <x:c r="X4" s="94" t="n">
        <x:v>46279.625</x:v>
      </x:c>
      <x:c r="Y4" s="58" t="str">
        <x:v>Operativa: API nacional con cobertura regional.</x:v>
      </x:c>
    </x:row>
    <x:row r="5" ht="42" customHeight="1">
      <x:c r="A5" s="9" t="str">
        <x:v>CL-FUE-0004</x:v>
      </x:c>
      <x:c r="B5" s="7" t="str">
        <x:v>Espacio Cultural Viña del Mar</x:v>
      </x:c>
      <x:c r="C5" s="7" t="str">
        <x:v>Corporación Cultural de Viña del Mar</x:v>
      </x:c>
      <x:c r="D5" s="7" t="str">
        <x:v>Fuente configurada en el prototipo</x:v>
      </x:c>
      <x:c r="E5" s="7" t="str">
        <x:v>Según fuente</x:v>
      </x:c>
      <x:c r="F5" s="7" t="str">
        <x:v>Región de Valparaíso</x:v>
      </x:c>
      <x:c r="G5" s="7" t="str">
        <x:v>Viña del Mar</x:v>
      </x:c>
      <x:c r="H5" s="7" t="str">
        <x:v>Multidisciplinario</x:v>
      </x:c>
      <x:c r="I5" s="7" t="str">
        <x:v>Conector del prototipo</x:v>
      </x:c>
      <x:c r="J5" s="10" t="str">
        <x:v>https://www.culturaviva.cl/actividades/</x:v>
      </x:c>
      <x:c r="K5" s="10" t="str">
        <x:v>https://www.culturaviva.cl/actividades/</x:v>
      </x:c>
      <x:c r="L5" s="7" t="str">
        <x:v>Integrada operativa sin eventos vigentes</x:v>
      </x:c>
      <x:c r="M5" s="7" t="str">
        <x:v>Sí</x:v>
      </x:c>
      <x:c r="N5" s="7" t="str">
        <x:v>Alta</x:v>
      </x:c>
      <x:c r="O5" s="7" t="str">
        <x:v>tribe_events_api</x:v>
      </x:c>
      <x:c r="P5" s="8" t="n">
        <x:v>46270.666666666664</x:v>
      </x:c>
      <x:c r="Q5" s="7" t="str">
        <x:v>API operativa; al corte no publica eventos futuros.</x:v>
      </x:c>
      <x:c r="R5" s="58" t="str">
        <x:v>Aprobada técnicamente</x:v>
      </x:c>
      <x:c r="S5" s="60" t="n">
        <x:v>97</x:v>
      </x:c>
      <x:c r="T5" s="58" t="str">
        <x:v>alta</x:v>
      </x:c>
      <x:c r="U5" s="60" t="n">
        <x:v>200</x:v>
      </x:c>
      <x:c r="V5" s="58" t="str">
        <x:v>Permite</x:v>
      </x:c>
      <x:c r="W5" s="64" t="str">
        <x:v>https://www.culturaviva.cl/actividades/</x:v>
      </x:c>
      <x:c r="X5" s="94" t="n">
        <x:v>46279.625</x:v>
      </x:c>
      <x:c r="Y5" s="58" t="str">
        <x:v>La fuente no falló: no tenía eventos vigentes en la respuesta de la API.</x:v>
      </x:c>
    </x:row>
    <x:row r="6" ht="42" customHeight="1">
      <x:c r="A6" s="9" t="str">
        <x:v>CL-FUE-0005</x:v>
      </x:c>
      <x:c r="B6" s="7" t="str">
        <x:v>Enoturismo Chile · Agenda</x:v>
      </x:c>
      <x:c r="C6" s="7" t="str">
        <x:v>Enoturismo Chile</x:v>
      </x:c>
      <x:c r="D6" s="7" t="str">
        <x:v>Fuente configurada en el prototipo</x:v>
      </x:c>
      <x:c r="E6" s="7" t="str">
        <x:v>Según fuente</x:v>
      </x:c>
      <x:c r="F6" s="7" t="str">
        <x:v>Todas</x:v>
      </x:c>
      <x:c r="G6" s="7" t="str"/>
      <x:c r="H6" s="7" t="str">
        <x:v>Vino; Enoturismo</x:v>
      </x:c>
      <x:c r="I6" s="7" t="str">
        <x:v>Conector del prototipo</x:v>
      </x:c>
      <x:c r="J6" s="10" t="str">
        <x:v>https://www.enoturismochile.cl/agenda/</x:v>
      </x:c>
      <x:c r="K6" s="10" t="str">
        <x:v>https://www.enoturismochile.cl/agenda/</x:v>
      </x:c>
      <x:c r="L6" s="7" t="str">
        <x:v>Integrada operativa (revisión manual)</x:v>
      </x:c>
      <x:c r="M6" s="7" t="str">
        <x:v>Sí</x:v>
      </x:c>
      <x:c r="N6" s="7" t="str">
        <x:v>Alta</x:v>
      </x:c>
      <x:c r="O6" s="7" t="str">
        <x:v>eventon_wordpress</x:v>
      </x:c>
      <x:c r="P6" s="8" t="n">
        <x:v>46270.666666666664</x:v>
      </x:c>
      <x:c r="Q6" s="7" t="str">
        <x:v>Conector funcional; se mantiene revisión por la evidencia pública de la agenda.</x:v>
      </x:c>
      <x:c r="R6" s="58" t="str">
        <x:v>Revisión manual</x:v>
      </x:c>
      <x:c r="S6" s="60" t="n">
        <x:v>72</x:v>
      </x:c>
      <x:c r="T6" s="58" t="str">
        <x:v>alta</x:v>
      </x:c>
      <x:c r="U6" s="60" t="n">
        <x:v>200</x:v>
      </x:c>
      <x:c r="V6" s="58" t="str">
        <x:v>Permite</x:v>
      </x:c>
      <x:c r="W6" s="64" t="str">
        <x:v>https://www.enoturismochile.cl/agenda/</x:v>
      </x:c>
      <x:c r="X6" s="94" t="n">
        <x:v>46279.625</x:v>
      </x:c>
      <x:c r="Y6" s="58" t="str">
        <x:v>Operativa; requiere revisión de términos y calidad de agenda antes de ampliar alcance.</x:v>
      </x:c>
    </x:row>
    <x:row r="7" ht="42" customHeight="1">
      <x:c r="A7" s="9" t="str">
        <x:v>CL-FUE-0006</x:v>
      </x:c>
      <x:c r="B7" s="7" t="str">
        <x:v>Espacio Riesco · Calendario</x:v>
      </x:c>
      <x:c r="C7" s="7" t="str">
        <x:v>Espacio Riesco</x:v>
      </x:c>
      <x:c r="D7" s="7" t="str">
        <x:v>Fuente configurada en el prototipo</x:v>
      </x:c>
      <x:c r="E7" s="7" t="str">
        <x:v>Según fuente</x:v>
      </x:c>
      <x:c r="F7" s="7" t="str">
        <x:v>Región Metropolitana de Santiago</x:v>
      </x:c>
      <x:c r="G7" s="7" t="str">
        <x:v>Huechuraba</x:v>
      </x:c>
      <x:c r="H7" s="7" t="str">
        <x:v>Evento</x:v>
      </x:c>
      <x:c r="I7" s="7" t="str">
        <x:v>Conector del prototipo</x:v>
      </x:c>
      <x:c r="J7" s="10" t="str">
        <x:v>https://www.espacioriesco.cl/calendario/</x:v>
      </x:c>
      <x:c r="K7" s="10" t="str">
        <x:v>https://www.espacioriesco.cl/calendario/</x:v>
      </x:c>
      <x:c r="L7" s="7" t="str">
        <x:v>Integrada operativa (revisión manual)</x:v>
      </x:c>
      <x:c r="M7" s="7" t="str">
        <x:v>Sí</x:v>
      </x:c>
      <x:c r="N7" s="7" t="str">
        <x:v>Alta</x:v>
      </x:c>
      <x:c r="O7" s="7" t="str">
        <x:v>html_cards</x:v>
      </x:c>
      <x:c r="P7" s="8" t="n">
        <x:v>46270.666666666664</x:v>
      </x:c>
      <x:c r="Q7" s="7" t="str">
        <x:v>Conector funcional; se mantiene revisión por naturaleza generalista de la agenda.</x:v>
      </x:c>
      <x:c r="R7" s="58" t="str">
        <x:v>Revisión manual</x:v>
      </x:c>
      <x:c r="S7" s="60" t="n">
        <x:v>79</x:v>
      </x:c>
      <x:c r="T7" s="58" t="str">
        <x:v>alta</x:v>
      </x:c>
      <x:c r="U7" s="60" t="n">
        <x:v>200</x:v>
      </x:c>
      <x:c r="V7" s="58" t="str">
        <x:v>Permite</x:v>
      </x:c>
      <x:c r="W7" s="64" t="str">
        <x:v>https://www.espacioriesco.cl/calendario/</x:v>
      </x:c>
      <x:c r="X7" s="94" t="n">
        <x:v>46279.625</x:v>
      </x:c>
      <x:c r="Y7" s="58" t="str">
        <x:v>Operativa; se filtra por evento según criterio cultural global.</x:v>
      </x:c>
    </x:row>
    <x:row r="8" ht="42" customHeight="1">
      <x:c r="A8" s="9" t="str">
        <x:v>CL-FUE-0007</x:v>
      </x:c>
      <x:c r="B8" s="7" t="str">
        <x:v>FISA · Ferias y Exposiciones</x:v>
      </x:c>
      <x:c r="C8" s="7" t="str">
        <x:v>FISA · GL events Chile</x:v>
      </x:c>
      <x:c r="D8" s="7" t="str">
        <x:v>Fuente configurada en el prototipo</x:v>
      </x:c>
      <x:c r="E8" s="7" t="str">
        <x:v>Según fuente</x:v>
      </x:c>
      <x:c r="F8" s="7" t="str">
        <x:v>Todas</x:v>
      </x:c>
      <x:c r="G8" s="7" t="str"/>
      <x:c r="H8" s="7" t="str">
        <x:v>Exposición; Feria; Negocios</x:v>
      </x:c>
      <x:c r="I8" s="7" t="str">
        <x:v>Conector del prototipo</x:v>
      </x:c>
      <x:c r="J8" s="10" t="str">
        <x:v>https://www.fisa.cl/nuestras-ferias/</x:v>
      </x:c>
      <x:c r="K8" s="10" t="str">
        <x:v>https://www.fisa.cl/nuestras-ferias/</x:v>
      </x:c>
      <x:c r="L8" s="7" t="str">
        <x:v>Integrada operativa (revisión manual)</x:v>
      </x:c>
      <x:c r="M8" s="7" t="str">
        <x:v>Sí</x:v>
      </x:c>
      <x:c r="N8" s="7" t="str">
        <x:v>Alta</x:v>
      </x:c>
      <x:c r="O8" s="7" t="str">
        <x:v>fisa_portfolio</x:v>
      </x:c>
      <x:c r="P8" s="8" t="n">
        <x:v>46270.666666666664</x:v>
      </x:c>
      <x:c r="Q8" s="7" t="str">
        <x:v>Conector funcional; se mantiene filtro cultural por evento.</x:v>
      </x:c>
      <x:c r="R8" s="58" t="str">
        <x:v>Revisión manual</x:v>
      </x:c>
      <x:c r="S8" s="60" t="n">
        <x:v>64</x:v>
      </x:c>
      <x:c r="T8" s="58" t="str">
        <x:v>alta</x:v>
      </x:c>
      <x:c r="U8" s="60" t="n">
        <x:v>200</x:v>
      </x:c>
      <x:c r="V8" s="58" t="str">
        <x:v>Permite</x:v>
      </x:c>
      <x:c r="W8" s="64" t="str">
        <x:v>https://www.fisa.cl/nuestras-ferias/</x:v>
      </x:c>
      <x:c r="X8" s="94" t="n">
        <x:v>46279.625</x:v>
      </x:c>
      <x:c r="Y8" s="58" t="str">
        <x:v>Operativa; incluye solo ferias o exposiciones con componente cultural sustantivo.</x:v>
      </x:c>
    </x:row>
    <x:row r="9" ht="42" customHeight="1">
      <x:c r="A9" s="9" t="str">
        <x:v>CL-FUE-0008</x:v>
      </x:c>
      <x:c r="B9" s="7" t="str">
        <x:v>Centro Cultural GAM</x:v>
      </x:c>
      <x:c r="C9" s="7" t="str">
        <x:v>Centro Cultural Gabriela Mistral</x:v>
      </x:c>
      <x:c r="D9" s="7" t="str">
        <x:v>Fuente configurada en el prototipo</x:v>
      </x:c>
      <x:c r="E9" s="7" t="str">
        <x:v>Según fuente</x:v>
      </x:c>
      <x:c r="F9" s="7" t="str">
        <x:v>Región Metropolitana de Santiago</x:v>
      </x:c>
      <x:c r="G9" s="7" t="str">
        <x:v>Santiago</x:v>
      </x:c>
      <x:c r="H9" s="7" t="str">
        <x:v>Cultura</x:v>
      </x:c>
      <x:c r="I9" s="7" t="str">
        <x:v>Conector del prototipo</x:v>
      </x:c>
      <x:c r="J9" s="10" t="str">
        <x:v>https://gam.cl/es/calendario/</x:v>
      </x:c>
      <x:c r="K9" s="10" t="str">
        <x:v>https://gam.cl/es/calendario/</x:v>
      </x:c>
      <x:c r="L9" s="7" t="str">
        <x:v>Integrada operativa</x:v>
      </x:c>
      <x:c r="M9" s="7" t="str">
        <x:v>Sí</x:v>
      </x:c>
      <x:c r="N9" s="7" t="str">
        <x:v>Alta</x:v>
      </x:c>
      <x:c r="O9" s="7" t="str">
        <x:v>generic</x:v>
      </x:c>
      <x:c r="P9" s="8" t="n">
        <x:v>46270.666666666664</x:v>
      </x:c>
      <x:c r="Q9" s="7" t="str">
        <x:v>Ejecución reciente: conector funcional.</x:v>
      </x:c>
      <x:c r="R9" s="58" t="str">
        <x:v>Aprobada técnicamente</x:v>
      </x:c>
      <x:c r="S9" s="60" t="n">
        <x:v>99</x:v>
      </x:c>
      <x:c r="T9" s="58" t="str">
        <x:v>alta</x:v>
      </x:c>
      <x:c r="U9" s="60" t="n">
        <x:v>200</x:v>
      </x:c>
      <x:c r="V9" s="58" t="str">
        <x:v>Permite</x:v>
      </x:c>
      <x:c r="W9" s="64" t="str">
        <x:v>https://gam.cl/es/calendario/</x:v>
      </x:c>
      <x:c r="X9" s="94" t="n">
        <x:v>46279.625</x:v>
      </x:c>
      <x:c r="Y9" s="58" t="str">
        <x:v>Operativa: agenda accesible y con señales de eventos.</x:v>
      </x:c>
    </x:row>
    <x:row r="10" ht="42" customHeight="1">
      <x:c r="A10" s="9" t="str">
        <x:v>CL-FUE-0009</x:v>
      </x:c>
      <x:c r="B10" s="7" t="str">
        <x:v>Maipú en Común</x:v>
      </x:c>
      <x:c r="C10" s="7" t="str">
        <x:v>Municipalidad de Maipú</x:v>
      </x:c>
      <x:c r="D10" s="7" t="str">
        <x:v>Fuente configurada en el prototipo</x:v>
      </x:c>
      <x:c r="E10" s="7" t="str">
        <x:v>Según fuente</x:v>
      </x:c>
      <x:c r="F10" s="7" t="str">
        <x:v>Región Metropolitana de Santiago</x:v>
      </x:c>
      <x:c r="G10" s="7" t="str">
        <x:v>Maipú</x:v>
      </x:c>
      <x:c r="H10" s="7" t="str">
        <x:v>Multidisciplinario</x:v>
      </x:c>
      <x:c r="I10" s="7" t="str">
        <x:v>Conector del prototipo</x:v>
      </x:c>
      <x:c r="J10" s="10" t="str">
        <x:v>https://www.maipuencomun.cl/</x:v>
      </x:c>
      <x:c r="K10" s="10" t="str">
        <x:v>https://www.maipuencomun.cl/</x:v>
      </x:c>
      <x:c r="L10" s="7" t="str">
        <x:v>Integrada operativa (revisión manual)</x:v>
      </x:c>
      <x:c r="M10" s="7" t="str">
        <x:v>Sí</x:v>
      </x:c>
      <x:c r="N10" s="7" t="str">
        <x:v>Alta</x:v>
      </x:c>
      <x:c r="O10" s="7" t="str">
        <x:v>maipu_browser</x:v>
      </x:c>
      <x:c r="P10" s="8" t="n">
        <x:v>46270.666666666664</x:v>
      </x:c>
      <x:c r="Q10" s="7" t="str">
        <x:v>Conector de navegador funcional; requiere Playwright instalado.</x:v>
      </x:c>
      <x:c r="R10" s="58" t="str">
        <x:v>Revisión manual</x:v>
      </x:c>
      <x:c r="S10" s="60" t="n">
        <x:v>45</x:v>
      </x:c>
      <x:c r="T10" s="58" t="str">
        <x:v>alta</x:v>
      </x:c>
      <x:c r="U10" s="60" t="n">
        <x:v>200</x:v>
      </x:c>
      <x:c r="V10" s="58" t="str">
        <x:v>Sin dato</x:v>
      </x:c>
      <x:c r="W10" s="64" t="str">
        <x:v>https://www.maipuencomun.cl/</x:v>
      </x:c>
      <x:c r="X10" s="94" t="n">
        <x:v>46279.625</x:v>
      </x:c>
      <x:c r="Y10" s="58" t="str">
        <x:v>Operativa; depende del backend municipal y de Playwright.</x:v>
      </x:c>
    </x:row>
    <x:row r="11" ht="42" customHeight="1">
      <x:c r="A11" s="9" t="str">
        <x:v>CL-FUE-0010</x:v>
      </x:c>
      <x:c r="B11" s="7" t="str">
        <x:v>Rancagua Cultura</x:v>
      </x:c>
      <x:c r="C11" s="7" t="str">
        <x:v>Corporación de la Cultura y las Artes de Rancagua</x:v>
      </x:c>
      <x:c r="D11" s="7" t="str">
        <x:v>Fuente configurada en el prototipo</x:v>
      </x:c>
      <x:c r="E11" s="7" t="str">
        <x:v>Según fuente</x:v>
      </x:c>
      <x:c r="F11" s="7" t="str">
        <x:v>Región del Libertador Bernardo O'Higgins</x:v>
      </x:c>
      <x:c r="G11" s="7" t="str">
        <x:v>Rancagua</x:v>
      </x:c>
      <x:c r="H11" s="7" t="str">
        <x:v>Cultura</x:v>
      </x:c>
      <x:c r="I11" s="7" t="str">
        <x:v>Conector del prototipo</x:v>
      </x:c>
      <x:c r="J11" s="10" t="str">
        <x:v>https://rancaguacultura.cl/event-directory/</x:v>
      </x:c>
      <x:c r="K11" s="10" t="str">
        <x:v>https://rancaguacultura.cl/event-directory/</x:v>
      </x:c>
      <x:c r="L11" s="7" t="str">
        <x:v>Integrada activa (corregida)</x:v>
      </x:c>
      <x:c r="M11" s="7" t="str">
        <x:v>Sí</x:v>
      </x:c>
      <x:c r="N11" s="7" t="str">
        <x:v>Alta</x:v>
      </x:c>
      <x:c r="O11" s="7" t="str">
        <x:v>generic</x:v>
      </x:c>
      <x:c r="P11" s="8" t="n">
        <x:v>46270.666666666664</x:v>
      </x:c>
      <x:c r="Q11" s="7" t="str">
        <x:v>Corregida el 14-09-2026: se ignoran enlaces webcal:// no compatibles con Requests.</x:v>
      </x:c>
      <x:c r="R11" s="58" t="str">
        <x:v>Aprobada técnicamente</x:v>
      </x:c>
      <x:c r="S11" s="60" t="n">
        <x:v>100</x:v>
      </x:c>
      <x:c r="T11" s="58" t="str">
        <x:v>alta</x:v>
      </x:c>
      <x:c r="U11" s="60" t="n">
        <x:v>200</x:v>
      </x:c>
      <x:c r="V11" s="58" t="str">
        <x:v>Permite</x:v>
      </x:c>
      <x:c r="W11" s="64" t="str">
        <x:v>https://rancaguacultura.cl/event-directory/</x:v>
      </x:c>
      <x:c r="X11" s="94" t="n">
        <x:v>46279.625</x:v>
      </x:c>
      <x:c r="Y11" s="58" t="str">
        <x:v>Operativa tras la corrección; el calendario webcal ya no interrumpe la extracción de fichas HTML.</x:v>
      </x:c>
    </x:row>
    <x:row r="12" ht="42" customHeight="1">
      <x:c r="A12" s="9" t="str">
        <x:v>CL-FUE-0011</x:v>
      </x:c>
      <x:c r="B12" s="7" t="str">
        <x:v>Santiago Cultura</x:v>
      </x:c>
      <x:c r="C12" s="7" t="str">
        <x:v>Subdirección de Cultura · Municipalidad de Santiago</x:v>
      </x:c>
      <x:c r="D12" s="7" t="str">
        <x:v>Fuente configurada en el prototipo</x:v>
      </x:c>
      <x:c r="E12" s="7" t="str">
        <x:v>Según fuente</x:v>
      </x:c>
      <x:c r="F12" s="7" t="str">
        <x:v>Región Metropolitana de Santiago</x:v>
      </x:c>
      <x:c r="G12" s="7" t="str">
        <x:v>Santiago</x:v>
      </x:c>
      <x:c r="H12" s="7" t="str">
        <x:v>Cultura</x:v>
      </x:c>
      <x:c r="I12" s="7" t="str">
        <x:v>Conector del prototipo</x:v>
      </x:c>
      <x:c r="J12" s="10" t="str">
        <x:v>https://www.santiagocultura.cl/agenda-cultural/</x:v>
      </x:c>
      <x:c r="K12" s="10" t="str">
        <x:v>https://www.santiagocultura.cl/agenda-cultural/</x:v>
      </x:c>
      <x:c r="L12" s="7" t="str">
        <x:v>Integrada operativa</x:v>
      </x:c>
      <x:c r="M12" s="7" t="str">
        <x:v>Sí</x:v>
      </x:c>
      <x:c r="N12" s="7" t="str">
        <x:v>Alta</x:v>
      </x:c>
      <x:c r="O12" s="7" t="str">
        <x:v>santiago_wordpress</x:v>
      </x:c>
      <x:c r="P12" s="8" t="n">
        <x:v>46285.625</x:v>
      </x:c>
      <x:c r="Q12" s="7" t="str">
        <x:v>Conector incremental activo: reutiliza fichas sin cambios y conserva checkpoints.</x:v>
      </x:c>
      <x:c r="R12" s="58" t="str">
        <x:v>Aprobada técnicamente</x:v>
      </x:c>
      <x:c r="S12" s="60" t="n">
        <x:v>79</x:v>
      </x:c>
      <x:c r="T12" s="58" t="str">
        <x:v>alta</x:v>
      </x:c>
      <x:c r="U12" s="60" t="n">
        <x:v>200</x:v>
      </x:c>
      <x:c r="V12" s="58" t="str">
        <x:v>Permite</x:v>
      </x:c>
      <x:c r="W12" s="64" t="str">
        <x:v>https://www.santiagocultura.cl/agenda-cultural/</x:v>
      </x:c>
      <x:c r="X12" s="94" t="n">
        <x:v>46285.625</x:v>
      </x:c>
      <x:c r="Y12" s="58" t="str">
        <x:v>Operativa mediante extracción incremental; las fichas históricas sin cambios no se descargan nuevamente.</x:v>
      </x:c>
    </x:row>
    <x:row r="13" ht="42" customHeight="1">
      <x:c r="A13" s="9" t="str">
        <x:v>CL-FUE-0012</x:v>
      </x:c>
      <x:c r="B13" s="7" t="str">
        <x:v>Teatro Municipal de Viña del Mar</x:v>
      </x:c>
      <x:c r="C13" s="7" t="str">
        <x:v>Teatro Municipal de Viña del Mar</x:v>
      </x:c>
      <x:c r="D13" s="7" t="str">
        <x:v>Fuente configurada en el prototipo</x:v>
      </x:c>
      <x:c r="E13" s="7" t="str">
        <x:v>Según fuente</x:v>
      </x:c>
      <x:c r="F13" s="7" t="str">
        <x:v>Región de Valparaíso</x:v>
      </x:c>
      <x:c r="G13" s="7" t="str">
        <x:v>Viña del Mar</x:v>
      </x:c>
      <x:c r="H13" s="7" t="str">
        <x:v>Artes escénicas</x:v>
      </x:c>
      <x:c r="I13" s="7" t="str">
        <x:v>Conector del prototipo</x:v>
      </x:c>
      <x:c r="J13" s="10" t="str">
        <x:v>https://teatrovina.cl/cartelera/</x:v>
      </x:c>
      <x:c r="K13" s="10" t="str">
        <x:v>https://teatrovina.cl/cartelera/</x:v>
      </x:c>
      <x:c r="L13" s="7" t="str">
        <x:v>Integrada operativa</x:v>
      </x:c>
      <x:c r="M13" s="7" t="str">
        <x:v>Sí</x:v>
      </x:c>
      <x:c r="N13" s="7" t="str">
        <x:v>Alta</x:v>
      </x:c>
      <x:c r="O13" s="7" t="str">
        <x:v>generic</x:v>
      </x:c>
      <x:c r="P13" s="8" t="n">
        <x:v>46270.666666666664</x:v>
      </x:c>
      <x:c r="Q13" s="7" t="str">
        <x:v>Ejecución reciente: conector funcional.</x:v>
      </x:c>
      <x:c r="R13" s="58" t="str">
        <x:v>Aprobada técnicamente</x:v>
      </x:c>
      <x:c r="S13" s="60" t="n">
        <x:v>100</x:v>
      </x:c>
      <x:c r="T13" s="58" t="str">
        <x:v>alta</x:v>
      </x:c>
      <x:c r="U13" s="60" t="n">
        <x:v>200</x:v>
      </x:c>
      <x:c r="V13" s="58" t="str">
        <x:v>Permite</x:v>
      </x:c>
      <x:c r="W13" s="64" t="str">
        <x:v>https://teatrovina.cl/cartelera/</x:v>
      </x:c>
      <x:c r="X13" s="94" t="n">
        <x:v>46279.625</x:v>
      </x:c>
      <x:c r="Y13" s="58" t="str">
        <x:v>Operativa: cartelera accesible y con señales de eventos.</x:v>
      </x:c>
    </x:row>
    <x:row r="14" ht="42" customHeight="1">
      <x:c r="A14" s="9" t="str">
        <x:v>CL-FUE-0013</x:v>
      </x:c>
      <x:c r="B14" s="7" t="str">
        <x:v>Ticketplus · Región Metropolitana</x:v>
      </x:c>
      <x:c r="C14" s="7" t="str">
        <x:v>Ticketplus · Región Metropolitana</x:v>
      </x:c>
      <x:c r="D14" s="7" t="str">
        <x:v>Fuente configurada en el prototipo</x:v>
      </x:c>
      <x:c r="E14" s="7" t="str">
        <x:v>Según fuente</x:v>
      </x:c>
      <x:c r="F14" s="7" t="str">
        <x:v>Región Metropolitana de Santiago</x:v>
      </x:c>
      <x:c r="G14" s="7" t="str"/>
      <x:c r="H14" s="7" t="str">
        <x:v>Multidisciplinario</x:v>
      </x:c>
      <x:c r="I14" s="7" t="str">
        <x:v>Conector del prototipo</x:v>
      </x:c>
      <x:c r="J14" s="10" t="str">
        <x:v>https://ticketplus.cl/states/region-metropolitana</x:v>
      </x:c>
      <x:c r="K14" s="10" t="str">
        <x:v>https://ticketplus.cl/states/region-metropolitana</x:v>
      </x:c>
      <x:c r="L14" s="7" t="str">
        <x:v>Configurada inactiva</x:v>
      </x:c>
      <x:c r="M14" s="7" t="str">
        <x:v>Sí</x:v>
      </x:c>
      <x:c r="N14" s="7" t="str">
        <x:v>Alta</x:v>
      </x:c>
      <x:c r="O14" s="7" t="str">
        <x:v>generic</x:v>
      </x:c>
      <x:c r="P14" s="8" t="n">
        <x:v>46270.666666666664</x:v>
      </x:c>
      <x:c r="Q14" s="7" t="str">
        <x:v>No se habilita en el pipeline actual; pendiente de conector estable.</x:v>
      </x:c>
      <x:c r="R14" s="58" t="str">
        <x:v>Pendiente de activación</x:v>
      </x:c>
      <x:c r="S14" s="60" t="n">
        <x:v>87</x:v>
      </x:c>
      <x:c r="T14" s="58" t="str">
        <x:v>alta</x:v>
      </x:c>
      <x:c r="U14" s="60" t="n">
        <x:v>200</x:v>
      </x:c>
      <x:c r="V14" s="58" t="str">
        <x:v>Permite</x:v>
      </x:c>
      <x:c r="W14" s="64" t="str">
        <x:v>https://ticketplus.cl/states/region-metropolitana</x:v>
      </x:c>
      <x:c r="X14" s="94" t="n">
        <x:v>46279.625</x:v>
      </x:c>
      <x:c r="Y14" s="58" t="str">
        <x:v>No se ejecuta ni se considera integración operativa.</x:v>
      </x:c>
    </x:row>
    <x:row r="15" ht="42" customHeight="1">
      <x:c r="A15" s="9" t="str">
        <x:v>CL-FUE-0014</x:v>
      </x:c>
      <x:c r="B15" s="7" t="str">
        <x:v>Agenda Cultural UOH</x:v>
      </x:c>
      <x:c r="C15" s="7" t="str">
        <x:v>Universidad de O'Higgins</x:v>
      </x:c>
      <x:c r="D15" s="7" t="str">
        <x:v>Fuente configurada en el prototipo</x:v>
      </x:c>
      <x:c r="E15" s="7" t="str">
        <x:v>Según fuente</x:v>
      </x:c>
      <x:c r="F15" s="7" t="str">
        <x:v>Región del Libertador Bernardo O'Higgins</x:v>
      </x:c>
      <x:c r="G15" s="7" t="str">
        <x:v>Rancagua</x:v>
      </x:c>
      <x:c r="H15" s="7" t="str">
        <x:v>Multidisciplinario</x:v>
      </x:c>
      <x:c r="I15" s="7" t="str">
        <x:v>Conector del prototipo</x:v>
      </x:c>
      <x:c r="J15" s="10" t="str">
        <x:v>https://www.uoh.cl/extension/agenda/</x:v>
      </x:c>
      <x:c r="K15" s="10" t="str">
        <x:v>https://www.uoh.cl/extension/agenda/</x:v>
      </x:c>
      <x:c r="L15" s="7" t="str">
        <x:v>Integrada operativa</x:v>
      </x:c>
      <x:c r="M15" s="7" t="str">
        <x:v>Sí</x:v>
      </x:c>
      <x:c r="N15" s="7" t="str">
        <x:v>Alta</x:v>
      </x:c>
      <x:c r="O15" s="7" t="str">
        <x:v>wordpress_rest</x:v>
      </x:c>
      <x:c r="P15" s="8" t="n">
        <x:v>46270.666666666664</x:v>
      </x:c>
      <x:c r="Q15" s="7" t="str">
        <x:v>Ejecución reciente: conector funcional.</x:v>
      </x:c>
      <x:c r="R15" s="58" t="str">
        <x:v>Aprobada técnicamente</x:v>
      </x:c>
      <x:c r="S15" s="60" t="n">
        <x:v>99</x:v>
      </x:c>
      <x:c r="T15" s="58" t="str">
        <x:v>alta</x:v>
      </x:c>
      <x:c r="U15" s="60" t="n">
        <x:v>200</x:v>
      </x:c>
      <x:c r="V15" s="58" t="str">
        <x:v>Permite</x:v>
      </x:c>
      <x:c r="W15" s="64" t="str">
        <x:v>https://www.uoh.cl/extension/agenda</x:v>
      </x:c>
      <x:c r="X15" s="94" t="n">
        <x:v>46279.625</x:v>
      </x:c>
      <x:c r="Y15" s="58" t="str">
        <x:v>Operativa: API WordPress y validación de URLs activas.</x:v>
      </x:c>
    </x:row>
    <x:row r="16" ht="42" customHeight="1">
      <x:c r="A16" s="9" t="str">
        <x:v>CL-FUE-0015</x:v>
      </x:c>
      <x:c r="B16" s="7" t="str">
        <x:v>Valpo Cultura</x:v>
      </x:c>
      <x:c r="C16" s="7" t="str">
        <x:v>Dirección de Desarrollo Cultural · Municipalidad de Valparaíso</x:v>
      </x:c>
      <x:c r="D16" s="7" t="str">
        <x:v>Fuente configurada en el prototipo</x:v>
      </x:c>
      <x:c r="E16" s="7" t="str">
        <x:v>Según fuente</x:v>
      </x:c>
      <x:c r="F16" s="7" t="str">
        <x:v>Región de Valparaíso</x:v>
      </x:c>
      <x:c r="G16" s="7" t="str">
        <x:v>Valparaíso</x:v>
      </x:c>
      <x:c r="H16" s="7" t="str">
        <x:v>Multidisciplinario</x:v>
      </x:c>
      <x:c r="I16" s="7" t="str">
        <x:v>Conector del prototipo</x:v>
      </x:c>
      <x:c r="J16" s="10" t="str">
        <x:v>https://valpocultura.cl/agenda-cultural/</x:v>
      </x:c>
      <x:c r="K16" s="10" t="str">
        <x:v>https://valpocultura.cl/agenda-cultural/</x:v>
      </x:c>
      <x:c r="L16" s="7" t="str">
        <x:v>Integrada operativa</x:v>
      </x:c>
      <x:c r="M16" s="7" t="str">
        <x:v>Sí</x:v>
      </x:c>
      <x:c r="N16" s="7" t="str">
        <x:v>Alta</x:v>
      </x:c>
      <x:c r="O16" s="7" t="str">
        <x:v>tribe_events_api</x:v>
      </x:c>
      <x:c r="P16" s="8" t="n">
        <x:v>46270.666666666664</x:v>
      </x:c>
      <x:c r="Q16" s="7" t="str">
        <x:v>Ejecución reciente: conector funcional.</x:v>
      </x:c>
      <x:c r="R16" s="58" t="str">
        <x:v>Aprobada técnicamente</x:v>
      </x:c>
      <x:c r="S16" s="60" t="n">
        <x:v>100</x:v>
      </x:c>
      <x:c r="T16" s="58" t="str">
        <x:v>alta</x:v>
      </x:c>
      <x:c r="U16" s="60" t="n">
        <x:v>200</x:v>
      </x:c>
      <x:c r="V16" s="58" t="str">
        <x:v>Permite</x:v>
      </x:c>
      <x:c r="W16" s="64" t="str">
        <x:v>https://valpocultura.cl/agenda-cultural/</x:v>
      </x:c>
      <x:c r="X16" s="94" t="n">
        <x:v>46279.625</x:v>
      </x:c>
      <x:c r="Y16" s="58" t="str">
        <x:v>Operativa: API de calendario funcional.</x:v>
      </x:c>
    </x:row>
    <x:row r="17" ht="42" customHeight="1">
      <x:c r="A17" s="9" t="str">
        <x:v>CL-FUE-0016</x:v>
      </x:c>
      <x:c r="B17" s="7" t="str">
        <x:v>Día de los Patrimonios</x:v>
      </x:c>
      <x:c r="C17" s="7" t="str">
        <x:v>Ministerio de las Culturas, las Artes y el Patrimonio</x:v>
      </x:c>
      <x:c r="D17" s="7" t="str">
        <x:v>Programa nacional</x:v>
      </x:c>
      <x:c r="E17" s="7" t="str">
        <x:v>Nacional</x:v>
      </x:c>
      <x:c r="F17" s="7" t="str">
        <x:v>Todas</x:v>
      </x:c>
      <x:c r="G17" s="7" t="str"/>
      <x:c r="H17" s="7" t="str">
        <x:v>Patrimonio; Museos; Artes</x:v>
      </x:c>
      <x:c r="I17" s="7" t="str">
        <x:v>Agenda web</x:v>
      </x:c>
      <x:c r="J17" s="10" t="str">
        <x:v>https://www.diadelospatrimonios.cl/</x:v>
      </x:c>
      <x:c r="K17" s="10" t="str">
        <x:v>https://www.diadelospatrimonios.cl/</x:v>
      </x:c>
      <x:c r="L17" s="7" t="str">
        <x:v>Candidata verificada</x:v>
      </x:c>
      <x:c r="M17" s="7" t="str">
        <x:v>Sí</x:v>
      </x:c>
      <x:c r="N17" s="7" t="str">
        <x:v>Alta</x:v>
      </x:c>
      <x:c r="O17" s="7" t="str">
        <x:v>API/HTML</x:v>
      </x:c>
      <x:c r="P17" s="8" t="n">
        <x:v>46270.666666666664</x:v>
      </x:c>
      <x:c r="Q17" s="7" t="str">
        <x:v>Fuente digital recurrente; validar términos, paginación y estabilidad antes de integrarla.</x:v>
      </x:c>
      <x:c r="R17" s="58" t="str">
        <x:v>Revisión manual</x:v>
      </x:c>
      <x:c r="S17" s="60" t="n">
        <x:v>53</x:v>
      </x:c>
      <x:c r="T17" s="58" t="str">
        <x:v>media</x:v>
      </x:c>
      <x:c r="U17" s="60" t="n">
        <x:v>200</x:v>
      </x:c>
      <x:c r="V17" s="58" t="str">
        <x:v>Permite</x:v>
      </x:c>
      <x:c r="W17" s="64" t="str">
        <x:v>https://www.diadelpatrimonio.cl/</x:v>
      </x:c>
      <x:c r="X17" s="62" t="n">
        <x:v>46271.058310231485</x:v>
      </x:c>
      <x:c r="Y17" s="58" t="str">
        <x:v>sin términos de agenda | 0 objetos Event JSON-LD | 0 señales</x:v>
      </x:c>
    </x:row>
    <x:row r="18" ht="42" customHeight="1">
      <x:c r="A18" s="9" t="str">
        <x:v>CL-FUE-0017</x:v>
      </x:c>
      <x:c r="B18" s="7" t="str">
        <x:v>Museos de Chile</x:v>
      </x:c>
      <x:c r="C18" s="7" t="str">
        <x:v>Servicio Nacional del Patrimonio Cultural</x:v>
      </x:c>
      <x:c r="D18" s="7" t="str">
        <x:v>Directorio/agenda nacional</x:v>
      </x:c>
      <x:c r="E18" s="7" t="str">
        <x:v>Nacional</x:v>
      </x:c>
      <x:c r="F18" s="7" t="str">
        <x:v>Todas</x:v>
      </x:c>
      <x:c r="G18" s="7" t="str"/>
      <x:c r="H18" s="7" t="str">
        <x:v>Museos; Patrimonio; Artes visuales</x:v>
      </x:c>
      <x:c r="I18" s="7" t="str">
        <x:v>Portal web</x:v>
      </x:c>
      <x:c r="J18" s="10" t="str">
        <x:v>https://www.museoschile.gob.cl/</x:v>
      </x:c>
      <x:c r="K18" s="10" t="str">
        <x:v>https://www.museoschile.gob.cl/</x:v>
      </x:c>
      <x:c r="L18" s="7" t="str">
        <x:v>Candidata verificada</x:v>
      </x:c>
      <x:c r="M18" s="7" t="str">
        <x:v>Sí</x:v>
      </x:c>
      <x:c r="N18" s="7" t="str">
        <x:v>Alta</x:v>
      </x:c>
      <x:c r="O18" s="7" t="str">
        <x:v>HTML</x:v>
      </x:c>
      <x:c r="P18" s="8" t="n">
        <x:v>46270.666666666664</x:v>
      </x:c>
      <x:c r="Q18" s="7" t="str">
        <x:v>Fuente digital recurrente; validar términos, paginación y estabilidad antes de integrarla.</x:v>
      </x:c>
      <x:c r="R18" s="58" t="str">
        <x:v>Aprobada técnicamente</x:v>
      </x:c>
      <x:c r="S18" s="60" t="n">
        <x:v>77</x:v>
      </x:c>
      <x:c r="T18" s="58" t="str">
        <x:v>media</x:v>
      </x:c>
      <x:c r="U18" s="60" t="n">
        <x:v>200</x:v>
      </x:c>
      <x:c r="V18" s="58" t="str">
        <x:v>Permite</x:v>
      </x:c>
      <x:c r="W18" s="64" t="str">
        <x:v>https://www.museoschile.gob.cl/</x:v>
      </x:c>
      <x:c r="X18" s="62" t="n">
        <x:v>46271.0583075</x:v>
      </x:c>
      <x:c r="Y18" s="58" t="str">
        <x:v>0 objetos Event JSON-LD | 0 enlaces | /</x:v>
      </x:c>
    </x:row>
    <x:row r="19" ht="42" customHeight="1">
      <x:c r="A19" s="9" t="str">
        <x:v>CL-FUE-0018</x:v>
      </x:c>
      <x:c r="B19" s="7" t="str">
        <x:v>Bibliotecas Públicas</x:v>
      </x:c>
      <x:c r="C19" s="7" t="str">
        <x:v>Servicio Nacional del Patrimonio Cultural</x:v>
      </x:c>
      <x:c r="D19" s="7" t="str">
        <x:v>Red nacional</x:v>
      </x:c>
      <x:c r="E19" s="7" t="str">
        <x:v>Nacional</x:v>
      </x:c>
      <x:c r="F19" s="7" t="str">
        <x:v>Todas</x:v>
      </x:c>
      <x:c r="G19" s="7" t="str"/>
      <x:c r="H19" s="7" t="str">
        <x:v>Literatura; Libro y lectura; Patrimonio</x:v>
      </x:c>
      <x:c r="I19" s="7" t="str">
        <x:v>Portal web</x:v>
      </x:c>
      <x:c r="J19" s="10" t="str">
        <x:v>https://www.bibliotecaspublicas.gob.cl/</x:v>
      </x:c>
      <x:c r="K19" s="10" t="str">
        <x:v>https://www.bibliotecaspublicas.gob.cl/</x:v>
      </x:c>
      <x:c r="L19" s="7" t="str">
        <x:v>Candidata verificada</x:v>
      </x:c>
      <x:c r="M19" s="7" t="str">
        <x:v>Sí</x:v>
      </x:c>
      <x:c r="N19" s="7" t="str">
        <x:v>Media</x:v>
      </x:c>
      <x:c r="O19" s="7" t="str">
        <x:v>HTML/RSS</x:v>
      </x:c>
      <x:c r="P19" s="8" t="n">
        <x:v>46270.666666666664</x:v>
      </x:c>
      <x:c r="Q19" s="7" t="str">
        <x:v>Fuente digital recurrente; validar términos, paginación y estabilidad antes de integrarla.</x:v>
      </x:c>
      <x:c r="R19" s="58" t="str">
        <x:v>Revisión manual</x:v>
      </x:c>
      <x:c r="S19" s="60" t="n">
        <x:v>76</x:v>
      </x:c>
      <x:c r="T19" s="58" t="str">
        <x:v>media</x:v>
      </x:c>
      <x:c r="U19" s="60" t="n">
        <x:v>200</x:v>
      </x:c>
      <x:c r="V19" s="58" t="str">
        <x:v>Permite</x:v>
      </x:c>
      <x:c r="W19" s="64" t="str">
        <x:v>https://www.bibliotecaspublicas.gob.cl/</x:v>
      </x:c>
      <x:c r="X19" s="62" t="n">
        <x:v>46271.05831162037</x:v>
      </x:c>
      <x:c r="Y19" s="58" t="str">
        <x:v>programa | 0 objetos Event JSON-LD | 0 enlaces</x:v>
      </x:c>
    </x:row>
    <x:row r="20" ht="42" customHeight="1">
      <x:c r="A20" s="9" t="str">
        <x:v>CL-FUE-0019</x:v>
      </x:c>
      <x:c r="B20" s="7" t="str">
        <x:v>Patrimonio Cultural</x:v>
      </x:c>
      <x:c r="C20" s="7" t="str">
        <x:v>Servicio Nacional del Patrimonio Cultural</x:v>
      </x:c>
      <x:c r="D20" s="7" t="str">
        <x:v>Portal institucional</x:v>
      </x:c>
      <x:c r="E20" s="7" t="str">
        <x:v>Nacional</x:v>
      </x:c>
      <x:c r="F20" s="7" t="str">
        <x:v>Todas</x:v>
      </x:c>
      <x:c r="G20" s="7" t="str"/>
      <x:c r="H20" s="7" t="str">
        <x:v>Patrimonio; Archivos; Bibliotecas; Museos</x:v>
      </x:c>
      <x:c r="I20" s="7" t="str">
        <x:v>Noticias/agenda</x:v>
      </x:c>
      <x:c r="J20" s="10" t="str">
        <x:v>https://www.patrimoniocultural.gob.cl/</x:v>
      </x:c>
      <x:c r="K20" s="10" t="str">
        <x:v>https://www.patrimoniocultural.gob.cl/</x:v>
      </x:c>
      <x:c r="L20" s="7" t="str">
        <x:v>Candidata verificada</x:v>
      </x:c>
      <x:c r="M20" s="7" t="str">
        <x:v>Sí</x:v>
      </x:c>
      <x:c r="N20" s="7" t="str">
        <x:v>Media</x:v>
      </x:c>
      <x:c r="O20" s="7" t="str">
        <x:v>HTML</x:v>
      </x:c>
      <x:c r="P20" s="8" t="n">
        <x:v>46270.666666666664</x:v>
      </x:c>
      <x:c r="Q20" s="7" t="str">
        <x:v>Fuente digital recurrente; validar términos, paginación y estabilidad antes de integrarla.</x:v>
      </x:c>
      <x:c r="R20" s="58" t="str">
        <x:v>Aprobada técnicamente</x:v>
      </x:c>
      <x:c r="S20" s="60" t="n">
        <x:v>92</x:v>
      </x:c>
      <x:c r="T20" s="58" t="str">
        <x:v>alta</x:v>
      </x:c>
      <x:c r="U20" s="60" t="n">
        <x:v>200</x:v>
      </x:c>
      <x:c r="V20" s="58" t="str">
        <x:v>Permite</x:v>
      </x:c>
      <x:c r="W20" s="64" t="str">
        <x:v>https://www.patrimoniocultural.gob.cl/</x:v>
      </x:c>
      <x:c r="X20" s="62" t="n">
        <x:v>46271.05831768519</x:v>
      </x:c>
      <x:c r="Y20" s="58" t="str">
        <x:v>0 objetos Event JSON-LD | /</x:v>
      </x:c>
    </x:row>
    <x:row r="21" ht="42" customHeight="1">
      <x:c r="A21" s="9" t="str">
        <x:v>CL-FUE-0020</x:v>
      </x:c>
      <x:c r="B21" s="7" t="str">
        <x:v>Red Cultura</x:v>
      </x:c>
      <x:c r="C21" s="7" t="str">
        <x:v>Ministerio de las Culturas, las Artes y el Patrimonio</x:v>
      </x:c>
      <x:c r="D21" s="7" t="str">
        <x:v>Programa/red nacional</x:v>
      </x:c>
      <x:c r="E21" s="7" t="str">
        <x:v>Nacional</x:v>
      </x:c>
      <x:c r="F21" s="7" t="str">
        <x:v>Todas</x:v>
      </x:c>
      <x:c r="G21" s="7" t="str"/>
      <x:c r="H21" s="7" t="str">
        <x:v>Gestión cultural; Participación; Cultura comunitaria</x:v>
      </x:c>
      <x:c r="I21" s="7" t="str">
        <x:v>Portal web</x:v>
      </x:c>
      <x:c r="J21" s="10" t="str">
        <x:v>https://www.cultura.gob.cl/redcultura/</x:v>
      </x:c>
      <x:c r="K21" s="10" t="str">
        <x:v>https://www.cultura.gob.cl/redcultura/</x:v>
      </x:c>
      <x:c r="L21" s="7" t="str">
        <x:v>Candidata verificada</x:v>
      </x:c>
      <x:c r="M21" s="7" t="str">
        <x:v>Sí</x:v>
      </x:c>
      <x:c r="N21" s="7" t="str">
        <x:v>Baja</x:v>
      </x:c>
      <x:c r="O21" s="7" t="str">
        <x:v>HTML</x:v>
      </x:c>
      <x:c r="P21" s="8" t="n">
        <x:v>46270.666666666664</x:v>
      </x:c>
      <x:c r="Q21" s="7" t="str">
        <x:v>Fuente digital recurrente; validar términos, paginación y estabilidad antes de integrarla.</x:v>
      </x:c>
      <x:c r="R21" s="58" t="str">
        <x:v>Revisión manual</x:v>
      </x:c>
      <x:c r="S21" s="60" t="n">
        <x:v>74</x:v>
      </x:c>
      <x:c r="T21" s="58" t="str">
        <x:v>media</x:v>
      </x:c>
      <x:c r="U21" s="60" t="n">
        <x:v>200</x:v>
      </x:c>
      <x:c r="V21" s="58" t="str">
        <x:v>Permite</x:v>
      </x:c>
      <x:c r="W21" s="64" t="str">
        <x:v>https://www.cultura.gob.cl/redcultura/</x:v>
      </x:c>
      <x:c r="X21" s="62" t="n">
        <x:v>46271.05832769676</x:v>
      </x:c>
      <x:c r="Y21" s="58" t="str">
        <x:v>programa | 0 objetos Event JSON-LD | 0 enlaces</x:v>
      </x:c>
    </x:row>
    <x:row r="22" ht="42" customHeight="1">
      <x:c r="A22" s="9" t="str">
        <x:v>CL-FUE-0021</x:v>
      </x:c>
      <x:c r="B22" s="7" t="str">
        <x:v>CECREA</x:v>
      </x:c>
      <x:c r="C22" s="7" t="str">
        <x:v>Ministerio de las Culturas, las Artes y el Patrimonio</x:v>
      </x:c>
      <x:c r="D22" s="7" t="str">
        <x:v>Red de centros</x:v>
      </x:c>
      <x:c r="E22" s="7" t="str">
        <x:v>Nacional</x:v>
      </x:c>
      <x:c r="F22" s="7" t="str">
        <x:v>Todas</x:v>
      </x:c>
      <x:c r="G22" s="7" t="str"/>
      <x:c r="H22" s="7" t="str">
        <x:v>Infancias; Artes; Ciencia; Tecnología</x:v>
      </x:c>
      <x:c r="I22" s="7" t="str">
        <x:v>Cartelera por centro</x:v>
      </x:c>
      <x:c r="J22" s="10" t="str">
        <x:v>https://cecrea.cl/</x:v>
      </x:c>
      <x:c r="K22" s="10" t="str">
        <x:v>https://cecrea.cl/</x:v>
      </x:c>
      <x:c r="L22" s="7" t="str">
        <x:v>Candidata verificada</x:v>
      </x:c>
      <x:c r="M22" s="7" t="str">
        <x:v>Sí</x:v>
      </x:c>
      <x:c r="N22" s="7" t="str">
        <x:v>Media</x:v>
      </x:c>
      <x:c r="O22" s="7" t="str">
        <x:v>HTML</x:v>
      </x:c>
      <x:c r="P22" s="8" t="n">
        <x:v>46270.666666666664</x:v>
      </x:c>
      <x:c r="Q22" s="7" t="str">
        <x:v>Fuente digital recurrente; validar términos, paginación y estabilidad antes de integrarla.</x:v>
      </x:c>
      <x:c r="R22" s="58" t="str">
        <x:v>Revisión manual</x:v>
      </x:c>
      <x:c r="S22" s="60" t="n">
        <x:v>28</x:v>
      </x:c>
      <x:c r="T22" s="58" t="str">
        <x:v>media</x:v>
      </x:c>
      <x:c r="U22" s="60"/>
      <x:c r="V22" s="58" t="str">
        <x:v>Sin dato</x:v>
      </x:c>
      <x:c r="W22" s="64" t="str"/>
      <x:c r="X22" s="62" t="n">
        <x:v>46271.058317800926</x:v>
      </x:c>
      <x:c r="Y22" s="58" t="str">
        <x:v>error_tls: HTTPSConnectionPool(host='cecrea.cl', port=443): Max retries exceeded with url: / (Caused by SSLError(SSLError(1, '[SSL: TLSV1_UNRECOGNIZED_NAME] tlsv1 unrecognized name (_ssl.c:1082)'))) | sin Content-Type | sin términos de agenda</x:v>
      </x:c>
    </x:row>
    <x:row r="23" ht="42" customHeight="1">
      <x:c r="A23" s="9" t="str">
        <x:v>CL-FUE-0022</x:v>
      </x:c>
      <x:c r="B23" s="7" t="str">
        <x:v>Red Salas de Teatro</x:v>
      </x:c>
      <x:c r="C23" s="7" t="str">
        <x:v>Asociación Gremial Red de Salas de Teatro</x:v>
      </x:c>
      <x:c r="D23" s="7" t="str">
        <x:v>Red sectorial</x:v>
      </x:c>
      <x:c r="E23" s="7" t="str">
        <x:v>Nacional</x:v>
      </x:c>
      <x:c r="F23" s="7" t="str">
        <x:v>Varias</x:v>
      </x:c>
      <x:c r="G23" s="7" t="str"/>
      <x:c r="H23" s="7" t="str">
        <x:v>Teatro; Danza; Circo</x:v>
      </x:c>
      <x:c r="I23" s="7" t="str">
        <x:v>Cartelera web</x:v>
      </x:c>
      <x:c r="J23" s="10" t="str">
        <x:v>https://redsalasdeteatro.cl/</x:v>
      </x:c>
      <x:c r="K23" s="10" t="str">
        <x:v>https://redsalasdeteatro.cl/</x:v>
      </x:c>
      <x:c r="L23" s="7" t="str">
        <x:v>Candidata verificada</x:v>
      </x:c>
      <x:c r="M23" s="7" t="str">
        <x:v>Sí</x:v>
      </x:c>
      <x:c r="N23" s="7" t="str">
        <x:v>Alta</x:v>
      </x:c>
      <x:c r="O23" s="7" t="str">
        <x:v>HTML</x:v>
      </x:c>
      <x:c r="P23" s="8" t="n">
        <x:v>46270.666666666664</x:v>
      </x:c>
      <x:c r="Q23" s="7" t="str">
        <x:v>Fuente digital recurrente; validar términos, paginación y estabilidad antes de integrarla.</x:v>
      </x:c>
      <x:c r="R23" s="58" t="str">
        <x:v>Aprobada técnicamente</x:v>
      </x:c>
      <x:c r="S23" s="60" t="n">
        <x:v>87</x:v>
      </x:c>
      <x:c r="T23" s="58" t="str">
        <x:v>alta</x:v>
      </x:c>
      <x:c r="U23" s="60" t="n">
        <x:v>200</x:v>
      </x:c>
      <x:c r="V23" s="58" t="str">
        <x:v>Permite</x:v>
      </x:c>
      <x:c r="W23" s="64" t="str">
        <x:v>https://redsalasdeteatro.cl/</x:v>
      </x:c>
      <x:c r="X23" s="62" t="n">
        <x:v>46271.058368101854</x:v>
      </x:c>
      <x:c r="Y23" s="58" t="str">
        <x:v>0 objetos Event JSON-LD | /</x:v>
      </x:c>
    </x:row>
    <x:row r="24" ht="42" customHeight="1">
      <x:c r="A24" s="9" t="str">
        <x:v>CL-FUE-0023</x:v>
      </x:c>
      <x:c r="B24" s="7" t="str">
        <x:v>Red Salas de Cine</x:v>
      </x:c>
      <x:c r="C24" s="7" t="str">
        <x:v>Red Salas Independientes de Cine de Chile</x:v>
      </x:c>
      <x:c r="D24" s="7" t="str">
        <x:v>Red sectorial</x:v>
      </x:c>
      <x:c r="E24" s="7" t="str">
        <x:v>Nacional</x:v>
      </x:c>
      <x:c r="F24" s="7" t="str">
        <x:v>Varias</x:v>
      </x:c>
      <x:c r="G24" s="7" t="str"/>
      <x:c r="H24" s="7" t="str">
        <x:v>Cine; Audiovisual</x:v>
      </x:c>
      <x:c r="I24" s="7" t="str">
        <x:v>Carteleras enlazadas</x:v>
      </x:c>
      <x:c r="J24" s="10" t="str">
        <x:v>https://www.redsalasdecine.cl/</x:v>
      </x:c>
      <x:c r="K24" s="10" t="str">
        <x:v>https://www.redsalasdecine.cl/salas-de-la-red/</x:v>
      </x:c>
      <x:c r="L24" s="7" t="str">
        <x:v>Candidata verificada</x:v>
      </x:c>
      <x:c r="M24" s="7" t="str">
        <x:v>Sí</x:v>
      </x:c>
      <x:c r="N24" s="7" t="str">
        <x:v>Alta</x:v>
      </x:c>
      <x:c r="O24" s="7" t="str">
        <x:v>HTML</x:v>
      </x:c>
      <x:c r="P24" s="8" t="n">
        <x:v>46270.666666666664</x:v>
      </x:c>
      <x:c r="Q24" s="7" t="str">
        <x:v>Fuente digital recurrente; validar términos, paginación y estabilidad antes de integrarla.</x:v>
      </x:c>
      <x:c r="R24" s="58" t="str">
        <x:v>Aprobada técnicamente</x:v>
      </x:c>
      <x:c r="S24" s="60" t="n">
        <x:v>71</x:v>
      </x:c>
      <x:c r="T24" s="58" t="str">
        <x:v>media</x:v>
      </x:c>
      <x:c r="U24" s="60" t="n">
        <x:v>200</x:v>
      </x:c>
      <x:c r="V24" s="58" t="str">
        <x:v>Permite</x:v>
      </x:c>
      <x:c r="W24" s="64" t="str">
        <x:v>https://www.redsalasdecine.cl/</x:v>
      </x:c>
      <x:c r="X24" s="62" t="n">
        <x:v>46271.0583531713</x:v>
      </x:c>
      <x:c r="Y24" s="58" t="str">
        <x:v>actividades | 0 objetos Event JSON-LD | 0 señales</x:v>
      </x:c>
    </x:row>
    <x:row r="25" ht="42" customHeight="1">
      <x:c r="A25" s="9" t="str">
        <x:v>CL-FUE-0024</x:v>
      </x:c>
      <x:c r="B25" s="7" t="str">
        <x:v>CineChile · Festivales</x:v>
      </x:c>
      <x:c r="C25" s="7" t="str">
        <x:v>Enciclopedia del Cine Chileno</x:v>
      </x:c>
      <x:c r="D25" s="7" t="str">
        <x:v>Directorio sectorial</x:v>
      </x:c>
      <x:c r="E25" s="7" t="str">
        <x:v>Nacional</x:v>
      </x:c>
      <x:c r="F25" s="7" t="str">
        <x:v>Varias</x:v>
      </x:c>
      <x:c r="G25" s="7" t="str"/>
      <x:c r="H25" s="7" t="str">
        <x:v>Cine; Audiovisual; Festivales</x:v>
      </x:c>
      <x:c r="I25" s="7" t="str">
        <x:v>Directorio web</x:v>
      </x:c>
      <x:c r="J25" s="10" t="str">
        <x:v>https://cinechile.cl/festivales/</x:v>
      </x:c>
      <x:c r="K25" s="10" t="str">
        <x:v>https://cinechile.cl/festivales/</x:v>
      </x:c>
      <x:c r="L25" s="7" t="str">
        <x:v>Candidata verificada</x:v>
      </x:c>
      <x:c r="M25" s="7" t="str">
        <x:v>Sí</x:v>
      </x:c>
      <x:c r="N25" s="7" t="str">
        <x:v>Media</x:v>
      </x:c>
      <x:c r="O25" s="7" t="str">
        <x:v>HTML</x:v>
      </x:c>
      <x:c r="P25" s="8" t="n">
        <x:v>46270.666666666664</x:v>
      </x:c>
      <x:c r="Q25" s="7" t="str">
        <x:v>Fuente digital recurrente; validar términos, paginación y estabilidad antes de integrarla.</x:v>
      </x:c>
      <x:c r="R25" s="58" t="str">
        <x:v>Aprobada técnicamente</x:v>
      </x:c>
      <x:c r="S25" s="60" t="n">
        <x:v>92</x:v>
      </x:c>
      <x:c r="T25" s="58" t="str">
        <x:v>alta</x:v>
      </x:c>
      <x:c r="U25" s="60" t="n">
        <x:v>200</x:v>
      </x:c>
      <x:c r="V25" s="58" t="str">
        <x:v>Permite</x:v>
      </x:c>
      <x:c r="W25" s="64" t="str">
        <x:v>https://cinechile.cl/festivales/</x:v>
      </x:c>
      <x:c r="X25" s="62" t="n">
        <x:v>46271.05834159722</x:v>
      </x:c>
      <x:c r="Y25" s="58" t="str">
        <x:v>programacion | 0 objetos Event JSON-LD</x:v>
      </x:c>
    </x:row>
    <x:row r="26" ht="42" customHeight="1">
      <x:c r="A26" s="9" t="str">
        <x:v>CL-FUE-0025</x:v>
      </x:c>
      <x:c r="B26" s="7" t="str">
        <x:v>MIC Chile</x:v>
      </x:c>
      <x:c r="C26" s="7" t="str">
        <x:v>Ministerio de las Culturas, las Artes y el Patrimonio</x:v>
      </x:c>
      <x:c r="D26" s="7" t="str">
        <x:v>Mercado/encuentro</x:v>
      </x:c>
      <x:c r="E26" s="7" t="str">
        <x:v>Nacional</x:v>
      </x:c>
      <x:c r="F26" s="7" t="str">
        <x:v>Varias</x:v>
      </x:c>
      <x:c r="G26" s="7" t="str"/>
      <x:c r="H26" s="7" t="str">
        <x:v>Música; Industrias creativas</x:v>
      </x:c>
      <x:c r="I26" s="7" t="str">
        <x:v>Programación web</x:v>
      </x:c>
      <x:c r="J26" s="10" t="str">
        <x:v>https://micchile.cultura.gob.cl/</x:v>
      </x:c>
      <x:c r="K26" s="10" t="str">
        <x:v>https://micchile.cultura.gob.cl/</x:v>
      </x:c>
      <x:c r="L26" s="7" t="str">
        <x:v>Candidata verificada</x:v>
      </x:c>
      <x:c r="M26" s="7" t="str">
        <x:v>Sí</x:v>
      </x:c>
      <x:c r="N26" s="7" t="str">
        <x:v>Media</x:v>
      </x:c>
      <x:c r="O26" s="7" t="str">
        <x:v>HTML</x:v>
      </x:c>
      <x:c r="P26" s="8" t="n">
        <x:v>46270.666666666664</x:v>
      </x:c>
      <x:c r="Q26" s="7" t="str">
        <x:v>Fuente digital recurrente; validar términos, paginación y estabilidad antes de integrarla.</x:v>
      </x:c>
      <x:c r="R26" s="58" t="str">
        <x:v>Aprobada técnicamente</x:v>
      </x:c>
      <x:c r="S26" s="60" t="n">
        <x:v>85</x:v>
      </x:c>
      <x:c r="T26" s="58" t="str">
        <x:v>alta</x:v>
      </x:c>
      <x:c r="U26" s="60" t="n">
        <x:v>200</x:v>
      </x:c>
      <x:c r="V26" s="58" t="str">
        <x:v>Sin dato</x:v>
      </x:c>
      <x:c r="W26" s="64" t="str">
        <x:v>https://micchile.cultura.gob.cl/</x:v>
      </x:c>
      <x:c r="X26" s="62" t="n">
        <x:v>46271.05834943287</x:v>
      </x:c>
      <x:c r="Y26" s="58" t="str">
        <x:v>0 objetos Event JSON-LD | 1 enlaces | /</x:v>
      </x:c>
    </x:row>
    <x:row r="27" ht="42" customHeight="1">
      <x:c r="A27" s="9" t="str">
        <x:v>CL-FUE-0026</x:v>
      </x:c>
      <x:c r="B27" s="7" t="str">
        <x:v>PuntoTicket</x:v>
      </x:c>
      <x:c r="C27" s="7" t="str">
        <x:v>PuntoTicket</x:v>
      </x:c>
      <x:c r="D27" s="7" t="str">
        <x:v>Tiquetera</x:v>
      </x:c>
      <x:c r="E27" s="7" t="str">
        <x:v>Nacional</x:v>
      </x:c>
      <x:c r="F27" s="7" t="str">
        <x:v>Todas</x:v>
      </x:c>
      <x:c r="G27" s="7" t="str"/>
      <x:c r="H27" s="7" t="str">
        <x:v>Música; Teatro; Humor; Festivales</x:v>
      </x:c>
      <x:c r="I27" s="7" t="str">
        <x:v>Cartelera</x:v>
      </x:c>
      <x:c r="J27" s="10" t="str">
        <x:v>https://www.puntoticket.com/</x:v>
      </x:c>
      <x:c r="K27" s="10" t="str">
        <x:v>https://www.puntoticket.com/</x:v>
      </x:c>
      <x:c r="L27" s="7" t="str">
        <x:v>Candidata verificada</x:v>
      </x:c>
      <x:c r="M27" s="7" t="str">
        <x:v>Sí</x:v>
      </x:c>
      <x:c r="N27" s="7" t="str">
        <x:v>Alta</x:v>
      </x:c>
      <x:c r="O27" s="7" t="str">
        <x:v>API/HTML</x:v>
      </x:c>
      <x:c r="P27" s="8" t="n">
        <x:v>46270.666666666664</x:v>
      </x:c>
      <x:c r="Q27" s="7" t="str">
        <x:v>Fuente digital recurrente; validar términos, paginación y estabilidad antes de integrarla.</x:v>
      </x:c>
      <x:c r="R27" s="58" t="str">
        <x:v>Aprobada técnicamente</x:v>
      </x:c>
      <x:c r="S27" s="60" t="n">
        <x:v>90</x:v>
      </x:c>
      <x:c r="T27" s="58" t="str">
        <x:v>alta</x:v>
      </x:c>
      <x:c r="U27" s="60" t="n">
        <x:v>200</x:v>
      </x:c>
      <x:c r="V27" s="58" t="str">
        <x:v>Permite</x:v>
      </x:c>
      <x:c r="W27" s="64" t="str">
        <x:v>https://www.puntoticket.com/</x:v>
      </x:c>
      <x:c r="X27" s="62" t="n">
        <x:v>46271.05836350694</x:v>
      </x:c>
      <x:c r="Y27" s="58" t="str">
        <x:v>0 objetos Event JSON-LD | /</x:v>
      </x:c>
    </x:row>
    <x:row r="28" ht="42" customHeight="1">
      <x:c r="A28" s="9" t="str">
        <x:v>CL-FUE-0027</x:v>
      </x:c>
      <x:c r="B28" s="7" t="str">
        <x:v>Ticketmaster Chile</x:v>
      </x:c>
      <x:c r="C28" s="7" t="str">
        <x:v>Ticketmaster Chile</x:v>
      </x:c>
      <x:c r="D28" s="7" t="str">
        <x:v>Tiquetera</x:v>
      </x:c>
      <x:c r="E28" s="7" t="str">
        <x:v>Nacional</x:v>
      </x:c>
      <x:c r="F28" s="7" t="str">
        <x:v>Todas</x:v>
      </x:c>
      <x:c r="G28" s="7" t="str"/>
      <x:c r="H28" s="7" t="str">
        <x:v>Música; Teatro; Festivales</x:v>
      </x:c>
      <x:c r="I28" s="7" t="str">
        <x:v>Cartelera</x:v>
      </x:c>
      <x:c r="J28" s="10" t="str">
        <x:v>https://www.ticketmaster.cl/</x:v>
      </x:c>
      <x:c r="K28" s="10" t="str">
        <x:v>https://www.ticketmaster.cl/</x:v>
      </x:c>
      <x:c r="L28" s="7" t="str">
        <x:v>Candidata verificada</x:v>
      </x:c>
      <x:c r="M28" s="7" t="str">
        <x:v>Sí</x:v>
      </x:c>
      <x:c r="N28" s="7" t="str">
        <x:v>Alta</x:v>
      </x:c>
      <x:c r="O28" s="7" t="str">
        <x:v>API/HTML</x:v>
      </x:c>
      <x:c r="P28" s="8" t="n">
        <x:v>46270.666666666664</x:v>
      </x:c>
      <x:c r="Q28" s="7" t="str">
        <x:v>Fuente digital recurrente; validar términos, paginación y estabilidad antes de integrarla.</x:v>
      </x:c>
      <x:c r="R28" s="58" t="str">
        <x:v>Aprobada técnicamente</x:v>
      </x:c>
      <x:c r="S28" s="60" t="n">
        <x:v>88</x:v>
      </x:c>
      <x:c r="T28" s="58" t="str">
        <x:v>alta</x:v>
      </x:c>
      <x:c r="U28" s="60" t="n">
        <x:v>200</x:v>
      </x:c>
      <x:c r="V28" s="58" t="str">
        <x:v>Permite</x:v>
      </x:c>
      <x:c r="W28" s="64" t="str">
        <x:v>https://www.ticketmaster.cl/</x:v>
      </x:c>
      <x:c r="X28" s="62" t="n">
        <x:v>46271.05835587963</x:v>
      </x:c>
      <x:c r="Y28" s="58" t="str">
        <x:v>0 objetos Event JSON-LD | 1 enlaces | /</x:v>
      </x:c>
    </x:row>
    <x:row r="29" ht="42" customHeight="1">
      <x:c r="A29" s="9" t="str">
        <x:v>CL-FUE-0028</x:v>
      </x:c>
      <x:c r="B29" s="7" t="str">
        <x:v>Ticketplus · Chile</x:v>
      </x:c>
      <x:c r="C29" s="7" t="str">
        <x:v>Ticketplus</x:v>
      </x:c>
      <x:c r="D29" s="7" t="str">
        <x:v>Tiquetera</x:v>
      </x:c>
      <x:c r="E29" s="7" t="str">
        <x:v>Nacional</x:v>
      </x:c>
      <x:c r="F29" s="7" t="str">
        <x:v>Todas</x:v>
      </x:c>
      <x:c r="G29" s="7"/>
      <x:c r="H29" s="7" t="str">
        <x:v>Música; Teatro; Cultura; Festivales</x:v>
      </x:c>
      <x:c r="I29" s="7" t="str">
        <x:v>Carteleras regionales</x:v>
      </x:c>
      <x:c r="J29" s="10" t="str">
        <x:v>https://ticketplus.cl/</x:v>
      </x:c>
      <x:c r="K29" s="10" t="str">
        <x:v>https://ticketplus.cl/</x:v>
      </x:c>
      <x:c r="L29" s="7" t="str">
        <x:v>Integrada operativa</x:v>
      </x:c>
      <x:c r="M29" s="7" t="str">
        <x:v>Sí</x:v>
      </x:c>
      <x:c r="N29" s="7" t="str">
        <x:v>Alta</x:v>
      </x:c>
      <x:c r="O29" s="7" t="str">
        <x:v>ticketplus_chile</x:v>
      </x:c>
      <x:c r="P29" s="8" t="n">
        <x:v>46285.625</x:v>
      </x:c>
      <x:c r="Q29" s="7" t="str">
        <x:v>Conector nacional activo: descubre las 16 carteleras regionales y aísla los fallos por región.</x:v>
      </x:c>
      <x:c r="R29" s="58" t="str">
        <x:v>Aprobada técnicamente</x:v>
      </x:c>
      <x:c r="S29" s="60" t="n">
        <x:v>80</x:v>
      </x:c>
      <x:c r="T29" s="58" t="str">
        <x:v>alta</x:v>
      </x:c>
      <x:c r="U29" s="60" t="n">
        <x:v>200</x:v>
      </x:c>
      <x:c r="V29" s="58" t="str">
        <x:v>Permite</x:v>
      </x:c>
      <x:c r="W29" s="64" t="str">
        <x:v>https://ticketplus.cl/</x:v>
      </x:c>
      <x:c r="X29" s="62" t="n">
        <x:v>46285.625</x:v>
      </x:c>
      <x:c r="Y29" s="58" t="str">
        <x:v>Operativa con cobertura nacional, extracción incremental y filtro cultural global.</x:v>
      </x:c>
    </x:row>
    <x:row r="30" ht="42" customHeight="1">
      <x:c r="A30" s="9" t="str">
        <x:v>CL-FUE-0029</x:v>
      </x:c>
      <x:c r="B30" s="7" t="str">
        <x:v>Passline</x:v>
      </x:c>
      <x:c r="C30" s="7" t="str">
        <x:v>Passline</x:v>
      </x:c>
      <x:c r="D30" s="7" t="str">
        <x:v>Tiquetera</x:v>
      </x:c>
      <x:c r="E30" s="7" t="str">
        <x:v>Nacional</x:v>
      </x:c>
      <x:c r="F30" s="7" t="str">
        <x:v>Todas</x:v>
      </x:c>
      <x:c r="G30" s="7" t="str"/>
      <x:c r="H30" s="7" t="str">
        <x:v>Música; Teatro; Festivales; Ferias</x:v>
      </x:c>
      <x:c r="I30" s="7" t="str">
        <x:v>Cartelera</x:v>
      </x:c>
      <x:c r="J30" s="10" t="str">
        <x:v>https://www.passline.com/</x:v>
      </x:c>
      <x:c r="K30" s="10" t="str">
        <x:v>https://www.passline.com/</x:v>
      </x:c>
      <x:c r="L30" s="7" t="str">
        <x:v>Candidata verificada</x:v>
      </x:c>
      <x:c r="M30" s="7" t="str">
        <x:v>Sí</x:v>
      </x:c>
      <x:c r="N30" s="7" t="str">
        <x:v>Alta</x:v>
      </x:c>
      <x:c r="O30" s="7" t="str">
        <x:v>API/HTML</x:v>
      </x:c>
      <x:c r="P30" s="8" t="n">
        <x:v>46270.666666666664</x:v>
      </x:c>
      <x:c r="Q30" s="7" t="str">
        <x:v>Fuente digital recurrente; validar términos, paginación y estabilidad antes de integrarla.</x:v>
      </x:c>
      <x:c r="R30" s="58" t="str">
        <x:v>Revisión manual</x:v>
      </x:c>
      <x:c r="S30" s="60" t="n">
        <x:v>50</x:v>
      </x:c>
      <x:c r="T30" s="58" t="str">
        <x:v>media</x:v>
      </x:c>
      <x:c r="U30" s="60" t="n">
        <x:v>200</x:v>
      </x:c>
      <x:c r="V30" s="58" t="str">
        <x:v>Permite</x:v>
      </x:c>
      <x:c r="W30" s="64" t="str">
        <x:v>https://home.passline.com</x:v>
      </x:c>
      <x:c r="X30" s="62" t="n">
        <x:v>46271.05837341435</x:v>
      </x:c>
      <x:c r="Y30" s="58" t="str">
        <x:v>0 objetos Event JSON-LD | 0 señales | 1 enlaces</x:v>
      </x:c>
    </x:row>
    <x:row r="31" ht="42" customHeight="1">
      <x:c r="A31" s="9" t="str">
        <x:v>CL-FUE-0030</x:v>
      </x:c>
      <x:c r="B31" s="7" t="str">
        <x:v>Eventrid</x:v>
      </x:c>
      <x:c r="C31" s="7" t="str">
        <x:v>Eventrid</x:v>
      </x:c>
      <x:c r="D31" s="7" t="str">
        <x:v>Tiquetera</x:v>
      </x:c>
      <x:c r="E31" s="7" t="str">
        <x:v>Nacional</x:v>
      </x:c>
      <x:c r="F31" s="7" t="str">
        <x:v>Todas</x:v>
      </x:c>
      <x:c r="G31" s="7" t="str"/>
      <x:c r="H31" s="7" t="str">
        <x:v>Música; Cultura; Congresos; Ferias</x:v>
      </x:c>
      <x:c r="I31" s="7" t="str">
        <x:v>Cartelera</x:v>
      </x:c>
      <x:c r="J31" s="10" t="str">
        <x:v>https://www.eventrid.cl/</x:v>
      </x:c>
      <x:c r="K31" s="10" t="str">
        <x:v>https://www.eventrid.cl/</x:v>
      </x:c>
      <x:c r="L31" s="7" t="str">
        <x:v>Candidata verificada</x:v>
      </x:c>
      <x:c r="M31" s="7" t="str">
        <x:v>Sí</x:v>
      </x:c>
      <x:c r="N31" s="7" t="str">
        <x:v>Media</x:v>
      </x:c>
      <x:c r="O31" s="7" t="str">
        <x:v>API/HTML</x:v>
      </x:c>
      <x:c r="P31" s="8" t="n">
        <x:v>46270.666666666664</x:v>
      </x:c>
      <x:c r="Q31" s="7" t="str">
        <x:v>Fuente digital recurrente; validar términos, paginación y estabilidad antes de integrarla.</x:v>
      </x:c>
      <x:c r="R31" s="58" t="str">
        <x:v>Revisión manual</x:v>
      </x:c>
      <x:c r="S31" s="60" t="n">
        <x:v>56</x:v>
      </x:c>
      <x:c r="T31" s="58" t="str">
        <x:v>media</x:v>
      </x:c>
      <x:c r="U31" s="60" t="n">
        <x:v>200</x:v>
      </x:c>
      <x:c r="V31" s="58" t="str">
        <x:v>Permite</x:v>
      </x:c>
      <x:c r="W31" s="64" t="str">
        <x:v>https://www.eventrid.cl/</x:v>
      </x:c>
      <x:c r="X31" s="62" t="n">
        <x:v>46271.058375023145</x:v>
      </x:c>
      <x:c r="Y31" s="58" t="str">
        <x:v>eventos | 0 objetos Event JSON-LD | 0 señales</x:v>
      </x:c>
    </x:row>
    <x:row r="32" ht="42" customHeight="1">
      <x:c r="A32" s="9" t="str">
        <x:v>CL-FUE-0031</x:v>
      </x:c>
      <x:c r="B32" s="7" t="str">
        <x:v>Welcu</x:v>
      </x:c>
      <x:c r="C32" s="7" t="str">
        <x:v>Welcu</x:v>
      </x:c>
      <x:c r="D32" s="7" t="str">
        <x:v>Plataforma de eventos</x:v>
      </x:c>
      <x:c r="E32" s="7" t="str">
        <x:v>Nacional</x:v>
      </x:c>
      <x:c r="F32" s="7" t="str">
        <x:v>Todas</x:v>
      </x:c>
      <x:c r="G32" s="7" t="str"/>
      <x:c r="H32" s="7" t="str">
        <x:v>Cultura; Talleres; Ferias; Conferencias</x:v>
      </x:c>
      <x:c r="I32" s="7" t="str">
        <x:v>Buscador</x:v>
      </x:c>
      <x:c r="J32" s="10" t="str">
        <x:v>https://welcu.com/</x:v>
      </x:c>
      <x:c r="K32" s="10" t="str">
        <x:v>https://welcu.com/</x:v>
      </x:c>
      <x:c r="L32" s="7" t="str">
        <x:v>Candidata verificada</x:v>
      </x:c>
      <x:c r="M32" s="7" t="str">
        <x:v>Sí</x:v>
      </x:c>
      <x:c r="N32" s="7" t="str">
        <x:v>Media</x:v>
      </x:c>
      <x:c r="O32" s="7" t="str">
        <x:v>HTML</x:v>
      </x:c>
      <x:c r="P32" s="8" t="n">
        <x:v>46270.666666666664</x:v>
      </x:c>
      <x:c r="Q32" s="7" t="str">
        <x:v>Fuente digital recurrente; validar términos, paginación y estabilidad antes de integrarla.</x:v>
      </x:c>
      <x:c r="R32" s="58" t="str">
        <x:v>Aprobada técnicamente</x:v>
      </x:c>
      <x:c r="S32" s="60" t="n">
        <x:v>100</x:v>
      </x:c>
      <x:c r="T32" s="58" t="str">
        <x:v>alta</x:v>
      </x:c>
      <x:c r="U32" s="60" t="n">
        <x:v>200</x:v>
      </x:c>
      <x:c r="V32" s="58" t="str">
        <x:v>Permite</x:v>
      </x:c>
      <x:c r="W32" s="64" t="str">
        <x:v>https://welcu.com/es</x:v>
      </x:c>
      <x:c r="X32" s="62" t="n">
        <x:v>46271.058382118055</x:v>
      </x:c>
      <x:c r="Y32" s="58" t="str">
        <x:v>0 objetos Event JSON-LD | /es</x:v>
      </x:c>
    </x:row>
    <x:row r="33" ht="42" customHeight="1">
      <x:c r="A33" s="9" t="str">
        <x:v>CL-FUE-0032</x:v>
      </x:c>
      <x:c r="B33" s="7" t="str">
        <x:v>PortalTickets</x:v>
      </x:c>
      <x:c r="C33" s="7" t="str">
        <x:v>PortalTickets</x:v>
      </x:c>
      <x:c r="D33" s="7" t="str">
        <x:v>Tiquetera</x:v>
      </x:c>
      <x:c r="E33" s="7" t="str">
        <x:v>Nacional</x:v>
      </x:c>
      <x:c r="F33" s="7" t="str">
        <x:v>Todas</x:v>
      </x:c>
      <x:c r="G33" s="7" t="str"/>
      <x:c r="H33" s="7" t="str">
        <x:v>Música; Teatro; Festivales</x:v>
      </x:c>
      <x:c r="I33" s="7" t="str">
        <x:v>Cartelera</x:v>
      </x:c>
      <x:c r="J33" s="10" t="str">
        <x:v>https://www.portaltickets.cl/</x:v>
      </x:c>
      <x:c r="K33" s="10" t="str">
        <x:v>https://www.portaltickets.cl/</x:v>
      </x:c>
      <x:c r="L33" s="7" t="str">
        <x:v>Candidata verificada</x:v>
      </x:c>
      <x:c r="M33" s="7" t="str">
        <x:v>Sí</x:v>
      </x:c>
      <x:c r="N33" s="7" t="str">
        <x:v>Media</x:v>
      </x:c>
      <x:c r="O33" s="7" t="str">
        <x:v>HTML</x:v>
      </x:c>
      <x:c r="P33" s="8" t="n">
        <x:v>46270.666666666664</x:v>
      </x:c>
      <x:c r="Q33" s="7" t="str">
        <x:v>Fuente digital recurrente; validar términos, paginación y estabilidad antes de integrarla.</x:v>
      </x:c>
      <x:c r="R33" s="58" t="str">
        <x:v>Aprobada técnicamente</x:v>
      </x:c>
      <x:c r="S33" s="60" t="n">
        <x:v>94</x:v>
      </x:c>
      <x:c r="T33" s="58" t="str">
        <x:v>alta</x:v>
      </x:c>
      <x:c r="U33" s="60" t="n">
        <x:v>200</x:v>
      </x:c>
      <x:c r="V33" s="58" t="str">
        <x:v>Permite</x:v>
      </x:c>
      <x:c r="W33" s="64" t="str">
        <x:v>https://www.portaldisc.com/portaltickets</x:v>
      </x:c>
      <x:c r="X33" s="62" t="n">
        <x:v>46271.05840325232</x:v>
      </x:c>
      <x:c r="Y33" s="58" t="str">
        <x:v>0 objetos Event JSON-LD | /portaltickets</x:v>
      </x:c>
    </x:row>
    <x:row r="34" ht="42" customHeight="1">
      <x:c r="A34" s="9" t="str">
        <x:v>CL-FUE-0033</x:v>
      </x:c>
      <x:c r="B34" s="7" t="str">
        <x:v>EcoPass</x:v>
      </x:c>
      <x:c r="C34" s="7" t="str">
        <x:v>EcoPass</x:v>
      </x:c>
      <x:c r="D34" s="7" t="str">
        <x:v>Tiquetera</x:v>
      </x:c>
      <x:c r="E34" s="7" t="str">
        <x:v>Nacional</x:v>
      </x:c>
      <x:c r="F34" s="7" t="str">
        <x:v>Todas</x:v>
      </x:c>
      <x:c r="G34" s="7" t="str"/>
      <x:c r="H34" s="7" t="str">
        <x:v>Música; Cultura; Ferias</x:v>
      </x:c>
      <x:c r="I34" s="7" t="str">
        <x:v>Cartelera</x:v>
      </x:c>
      <x:c r="J34" s="10" t="str">
        <x:v>https://www.ecopass.cl/</x:v>
      </x:c>
      <x:c r="K34" s="10" t="str">
        <x:v>https://www.ecopass.cl/</x:v>
      </x:c>
      <x:c r="L34" s="7" t="str">
        <x:v>Candidata verificada</x:v>
      </x:c>
      <x:c r="M34" s="7" t="str">
        <x:v>Sí</x:v>
      </x:c>
      <x:c r="N34" s="7" t="str">
        <x:v>Media</x:v>
      </x:c>
      <x:c r="O34" s="7" t="str">
        <x:v>HTML</x:v>
      </x:c>
      <x:c r="P34" s="8" t="n">
        <x:v>46270.666666666664</x:v>
      </x:c>
      <x:c r="Q34" s="7" t="str">
        <x:v>Fuente digital recurrente; validar términos, paginación y estabilidad antes de integrarla.</x:v>
      </x:c>
      <x:c r="R34" s="58" t="str">
        <x:v>Revisión manual</x:v>
      </x:c>
      <x:c r="S34" s="60" t="n">
        <x:v>33</x:v>
      </x:c>
      <x:c r="T34" s="58" t="str">
        <x:v>media</x:v>
      </x:c>
      <x:c r="U34" s="60" t="n">
        <x:v>403</x:v>
      </x:c>
      <x:c r="V34" s="58" t="str">
        <x:v>Permite</x:v>
      </x:c>
      <x:c r="W34" s="64" t="str">
        <x:v>https://www.ecopass.cl/</x:v>
      </x:c>
      <x:c r="X34" s="62" t="n">
        <x:v>46271.058390162034</x:v>
      </x:c>
      <x:c r="Y34" s="58" t="str">
        <x:v>http_403 | sin términos de agenda | 0 objetos Event JSON-LD</x:v>
      </x:c>
    </x:row>
    <x:row r="35" ht="42" customHeight="1">
      <x:c r="A35" s="9" t="str">
        <x:v>CL-FUE-0034</x:v>
      </x:c>
      <x:c r="B35" s="7" t="str">
        <x:v>Fundación Teatro a Mil</x:v>
      </x:c>
      <x:c r="C35" s="7" t="str">
        <x:v>Fundación Teatro a Mil</x:v>
      </x:c>
      <x:c r="D35" s="7" t="str">
        <x:v>Festival/productora</x:v>
      </x:c>
      <x:c r="E35" s="7" t="str">
        <x:v>Nacional</x:v>
      </x:c>
      <x:c r="F35" s="7" t="str">
        <x:v>Varias</x:v>
      </x:c>
      <x:c r="G35" s="7" t="str"/>
      <x:c r="H35" s="7" t="str">
        <x:v>Teatro; Danza; Circo; Artes escénicas</x:v>
      </x:c>
      <x:c r="I35" s="7" t="str">
        <x:v>Cartelera</x:v>
      </x:c>
      <x:c r="J35" s="10" t="str">
        <x:v>https://teatroamil.cl/</x:v>
      </x:c>
      <x:c r="K35" s="10" t="str">
        <x:v>https://teatroamil.cl/</x:v>
      </x:c>
      <x:c r="L35" s="7" t="str">
        <x:v>Candidata verificada</x:v>
      </x:c>
      <x:c r="M35" s="7" t="str">
        <x:v>Sí</x:v>
      </x:c>
      <x:c r="N35" s="7" t="str">
        <x:v>Alta</x:v>
      </x:c>
      <x:c r="O35" s="7" t="str">
        <x:v>API/HTML</x:v>
      </x:c>
      <x:c r="P35" s="8" t="n">
        <x:v>46270.666666666664</x:v>
      </x:c>
      <x:c r="Q35" s="7" t="str">
        <x:v>Fuente digital recurrente; validar términos, paginación y estabilidad antes de integrarla.</x:v>
      </x:c>
      <x:c r="R35" s="58" t="str">
        <x:v>Revisión manual</x:v>
      </x:c>
      <x:c r="S35" s="60" t="n">
        <x:v>72</x:v>
      </x:c>
      <x:c r="T35" s="58" t="str">
        <x:v>media</x:v>
      </x:c>
      <x:c r="U35" s="60" t="n">
        <x:v>200</x:v>
      </x:c>
      <x:c r="V35" s="58" t="str">
        <x:v>Permite</x:v>
      </x:c>
      <x:c r="W35" s="64" t="str">
        <x:v>https://teatroamil.cl/</x:v>
      </x:c>
      <x:c r="X35" s="62" t="n">
        <x:v>46271.058400925926</x:v>
      </x:c>
      <x:c r="Y35" s="58" t="str">
        <x:v>0 objetos Event JSON-LD | 0 señales | 1 enlaces</x:v>
      </x:c>
    </x:row>
    <x:row r="36" ht="42" customHeight="1">
      <x:c r="A36" s="9" t="str">
        <x:v>CL-FUE-0035</x:v>
      </x:c>
      <x:c r="B36" s="7" t="str">
        <x:v>Cultura Arica</x:v>
      </x:c>
      <x:c r="C36" s="7" t="str">
        <x:v>Municipalidad de Arica</x:v>
      </x:c>
      <x:c r="D36" s="7" t="str">
        <x:v>Agenda municipal</x:v>
      </x:c>
      <x:c r="E36" s="7" t="str">
        <x:v>Regional/comunal</x:v>
      </x:c>
      <x:c r="F36" s="7" t="str">
        <x:v>Región de Arica y Parinacota</x:v>
      </x:c>
      <x:c r="G36" s="7" t="str">
        <x:v>Arica</x:v>
      </x:c>
      <x:c r="H36" s="7" t="str">
        <x:v>Multidisciplinario; Patrimonio</x:v>
      </x:c>
      <x:c r="I36" s="7" t="str">
        <x:v>Portal municipal</x:v>
      </x:c>
      <x:c r="J36" s="10" t="str">
        <x:v>https://www.muniarica.cl/</x:v>
      </x:c>
      <x:c r="K36" s="10" t="str">
        <x:v>https://www.muniarica.cl/</x:v>
      </x:c>
      <x:c r="L36" s="7" t="str">
        <x:v>Candidata verificada</x:v>
      </x:c>
      <x:c r="M36" s="7" t="str">
        <x:v>Sí</x:v>
      </x:c>
      <x:c r="N36" s="7" t="str">
        <x:v>Media</x:v>
      </x:c>
      <x:c r="O36" s="7" t="str">
        <x:v>HTML</x:v>
      </x:c>
      <x:c r="P36" s="8" t="n">
        <x:v>46270.666666666664</x:v>
      </x:c>
      <x:c r="Q36" s="7" t="str">
        <x:v>Fuente digital recurrente; validar términos, paginación y estabilidad antes de integrarla.</x:v>
      </x:c>
      <x:c r="R36" s="58" t="str">
        <x:v>Aprobada técnicamente</x:v>
      </x:c>
      <x:c r="S36" s="60" t="n">
        <x:v>74</x:v>
      </x:c>
      <x:c r="T36" s="58" t="str">
        <x:v>media</x:v>
      </x:c>
      <x:c r="U36" s="60" t="n">
        <x:v>200</x:v>
      </x:c>
      <x:c r="V36" s="58" t="str">
        <x:v>Permite</x:v>
      </x:c>
      <x:c r="W36" s="64" t="str">
        <x:v>https://www.muniarica.cl/</x:v>
      </x:c>
      <x:c r="X36" s="62" t="n">
        <x:v>46271.05842083333</x:v>
      </x:c>
      <x:c r="Y36" s="58" t="str">
        <x:v>0 objetos Event JSON-LD | /</x:v>
      </x:c>
    </x:row>
    <x:row r="37" ht="42" customHeight="1">
      <x:c r="A37" s="9" t="str">
        <x:v>CL-FUE-0036</x:v>
      </x:c>
      <x:c r="B37" s="7" t="str">
        <x:v>Festival Internacional de Cine Arica Nativa</x:v>
      </x:c>
      <x:c r="C37" s="7" t="str">
        <x:v>Fundación Altiplano</x:v>
      </x:c>
      <x:c r="D37" s="7" t="str">
        <x:v>Festival</x:v>
      </x:c>
      <x:c r="E37" s="7" t="str">
        <x:v>Regional</x:v>
      </x:c>
      <x:c r="F37" s="7" t="str">
        <x:v>Región de Arica y Parinacota</x:v>
      </x:c>
      <x:c r="G37" s="7" t="str">
        <x:v>Arica</x:v>
      </x:c>
      <x:c r="H37" s="7" t="str">
        <x:v>Cine; Patrimonio; Pueblos originarios</x:v>
      </x:c>
      <x:c r="I37" s="7" t="str">
        <x:v>Programación</x:v>
      </x:c>
      <x:c r="J37" s="10" t="str">
        <x:v>https://www.aricanativa.cl/</x:v>
      </x:c>
      <x:c r="K37" s="10" t="str">
        <x:v>https://www.aricanativa.cl/</x:v>
      </x:c>
      <x:c r="L37" s="7" t="str">
        <x:v>Candidata verificada</x:v>
      </x:c>
      <x:c r="M37" s="7" t="str">
        <x:v>Sí</x:v>
      </x:c>
      <x:c r="N37" s="7" t="str">
        <x:v>Media</x:v>
      </x:c>
      <x:c r="O37" s="7" t="str">
        <x:v>HTML</x:v>
      </x:c>
      <x:c r="P37" s="8" t="n">
        <x:v>46270.666666666664</x:v>
      </x:c>
      <x:c r="Q37" s="7" t="str">
        <x:v>Fuente digital recurrente; validar términos, paginación y estabilidad antes de integrarla.</x:v>
      </x:c>
      <x:c r="R37" s="58" t="str">
        <x:v>Revisión manual</x:v>
      </x:c>
      <x:c r="S37" s="60" t="n">
        <x:v>74</x:v>
      </x:c>
      <x:c r="T37" s="58" t="str">
        <x:v>media</x:v>
      </x:c>
      <x:c r="U37" s="60" t="n">
        <x:v>200</x:v>
      </x:c>
      <x:c r="V37" s="58" t="str">
        <x:v>Permite</x:v>
      </x:c>
      <x:c r="W37" s="64" t="str">
        <x:v>https://www.aricanativa.cl/</x:v>
      </x:c>
      <x:c r="X37" s="62" t="n">
        <x:v>46271.05843561343</x:v>
      </x:c>
      <x:c r="Y37" s="58" t="str">
        <x:v>proximamente | 0 objetos Event JSON-LD | 0 enlaces</x:v>
      </x:c>
    </x:row>
    <x:row r="38" ht="42" customHeight="1">
      <x:c r="A38" s="9" t="str">
        <x:v>CL-FUE-0037</x:v>
      </x:c>
      <x:c r="B38" s="7" t="str">
        <x:v>Iquique Cultural</x:v>
      </x:c>
      <x:c r="C38" s="7" t="str">
        <x:v>Corporación Municipal de Desarrollo Social de Iquique</x:v>
      </x:c>
      <x:c r="D38" s="7" t="str">
        <x:v>Agenda municipal</x:v>
      </x:c>
      <x:c r="E38" s="7" t="str">
        <x:v>Regional/comunal</x:v>
      </x:c>
      <x:c r="F38" s="7" t="str">
        <x:v>Región de Tarapacá</x:v>
      </x:c>
      <x:c r="G38" s="7" t="str">
        <x:v>Iquique</x:v>
      </x:c>
      <x:c r="H38" s="7" t="str">
        <x:v>Multidisciplinario</x:v>
      </x:c>
      <x:c r="I38" s="7" t="str">
        <x:v>Portal institucional</x:v>
      </x:c>
      <x:c r="J38" s="10" t="str">
        <x:v>https://www.municipioiquique.cl/</x:v>
      </x:c>
      <x:c r="K38" s="10" t="str">
        <x:v>https://www.municipioiquique.cl/</x:v>
      </x:c>
      <x:c r="L38" s="7" t="str">
        <x:v>Candidata verificada</x:v>
      </x:c>
      <x:c r="M38" s="7" t="str">
        <x:v>Sí</x:v>
      </x:c>
      <x:c r="N38" s="7" t="str">
        <x:v>Baja</x:v>
      </x:c>
      <x:c r="O38" s="7" t="str">
        <x:v>HTML</x:v>
      </x:c>
      <x:c r="P38" s="8" t="n">
        <x:v>46270.666666666664</x:v>
      </x:c>
      <x:c r="Q38" s="7" t="str">
        <x:v>Fuente digital recurrente; validar términos, paginación y estabilidad antes de integrarla.</x:v>
      </x:c>
      <x:c r="R38" s="58" t="str">
        <x:v>Revisión manual</x:v>
      </x:c>
      <x:c r="S38" s="60" t="n">
        <x:v>66</x:v>
      </x:c>
      <x:c r="T38" s="58" t="str">
        <x:v>media</x:v>
      </x:c>
      <x:c r="U38" s="60" t="n">
        <x:v>200</x:v>
      </x:c>
      <x:c r="V38" s="58" t="str">
        <x:v>Permite</x:v>
      </x:c>
      <x:c r="W38" s="64" t="str">
        <x:v>https://www.municipioiquique.cl/</x:v>
      </x:c>
      <x:c r="X38" s="62" t="n">
        <x:v>46271.05840671296</x:v>
      </x:c>
      <x:c r="Y38" s="58" t="str">
        <x:v>cultural | 0 objetos Event JSON-LD | /</x:v>
      </x:c>
    </x:row>
    <x:row r="39" ht="42" customHeight="1">
      <x:c r="A39" s="9" t="str">
        <x:v>CL-FUE-0038</x:v>
      </x:c>
      <x:c r="B39" s="7" t="str">
        <x:v>Teatro Municipal de Iquique</x:v>
      </x:c>
      <x:c r="C39" s="7" t="str">
        <x:v>Municipalidad de Iquique</x:v>
      </x:c>
      <x:c r="D39" s="7" t="str">
        <x:v>Teatro municipal</x:v>
      </x:c>
      <x:c r="E39" s="7" t="str">
        <x:v>Regional</x:v>
      </x:c>
      <x:c r="F39" s="7" t="str">
        <x:v>Región de Tarapacá</x:v>
      </x:c>
      <x:c r="G39" s="7" t="str">
        <x:v>Iquique</x:v>
      </x:c>
      <x:c r="H39" s="7" t="str">
        <x:v>Teatro; Música; Danza</x:v>
      </x:c>
      <x:c r="I39" s="7" t="str">
        <x:v>Cartelera</x:v>
      </x:c>
      <x:c r="J39" s="10" t="str">
        <x:v>https://www.teatromunicipaliquique.cl/</x:v>
      </x:c>
      <x:c r="K39" s="10" t="str">
        <x:v>https://www.teatromunicipaliquique.cl/</x:v>
      </x:c>
      <x:c r="L39" s="7" t="str">
        <x:v>Candidata verificada</x:v>
      </x:c>
      <x:c r="M39" s="7" t="str">
        <x:v>Sí</x:v>
      </x:c>
      <x:c r="N39" s="7" t="str">
        <x:v>Alta</x:v>
      </x:c>
      <x:c r="O39" s="7" t="str">
        <x:v>HTML</x:v>
      </x:c>
      <x:c r="P39" s="8" t="n">
        <x:v>46270.666666666664</x:v>
      </x:c>
      <x:c r="Q39" s="7" t="str">
        <x:v>Fuente digital recurrente; validar términos, paginación y estabilidad antes de integrarla.</x:v>
      </x:c>
      <x:c r="R39" s="58" t="str">
        <x:v>Revisión manual</x:v>
      </x:c>
      <x:c r="S39" s="60" t="n">
        <x:v>32</x:v>
      </x:c>
      <x:c r="T39" s="58" t="str">
        <x:v>media</x:v>
      </x:c>
      <x:c r="U39" s="60"/>
      <x:c r="V39" s="58" t="str">
        <x:v>Sin dato</x:v>
      </x:c>
      <x:c r="W39" s="64" t="str"/>
      <x:c r="X39" s="62" t="n">
        <x:v>46271.05839034722</x:v>
      </x:c>
      <x:c r="Y39" s="58" t="str">
        <x:v>error_red: HTTPSConnectionPool(host='www.teatromunicipaliquique.cl', port=443): Max retries exceeded with url: / (Caused by NameResolutionError("HTTPSConnection(host='www.teatromunicipaliquique.cl', port=443): Failed to resolve 'www.teatromunicipaliqu | sin Content-Type | sin términos de agenda</x:v>
      </x:c>
    </x:row>
    <x:row r="40" ht="42" customHeight="1">
      <x:c r="A40" s="9" t="str">
        <x:v>CL-FUE-0039</x:v>
      </x:c>
      <x:c r="B40" s="7" t="str">
        <x:v>Cultura Antofagasta</x:v>
      </x:c>
      <x:c r="C40" s="7" t="str">
        <x:v>Corporación Cultural de Antofagasta</x:v>
      </x:c>
      <x:c r="D40" s="7" t="str">
        <x:v>Agenda cultural</x:v>
      </x:c>
      <x:c r="E40" s="7" t="str">
        <x:v>Regional/comunal</x:v>
      </x:c>
      <x:c r="F40" s="7" t="str">
        <x:v>Región de Antofagasta</x:v>
      </x:c>
      <x:c r="G40" s="7" t="str">
        <x:v>Antofagasta</x:v>
      </x:c>
      <x:c r="H40" s="7" t="str">
        <x:v>Música; Teatro; Danza; Artes</x:v>
      </x:c>
      <x:c r="I40" s="7" t="str">
        <x:v>Portal institucional</x:v>
      </x:c>
      <x:c r="J40" s="10" t="str">
        <x:v>https://culturaantofagasta.cl/</x:v>
      </x:c>
      <x:c r="K40" s="10" t="str">
        <x:v>https://culturaantofagasta.cl/</x:v>
      </x:c>
      <x:c r="L40" s="7" t="str">
        <x:v>Candidata verificada</x:v>
      </x:c>
      <x:c r="M40" s="7" t="str">
        <x:v>Sí</x:v>
      </x:c>
      <x:c r="N40" s="7" t="str">
        <x:v>Alta</x:v>
      </x:c>
      <x:c r="O40" s="7" t="str">
        <x:v>HTML</x:v>
      </x:c>
      <x:c r="P40" s="8" t="n">
        <x:v>46270.666666666664</x:v>
      </x:c>
      <x:c r="Q40" s="7" t="str">
        <x:v>Fuente digital recurrente; validar términos, paginación y estabilidad antes de integrarla.</x:v>
      </x:c>
      <x:c r="R40" s="58" t="str">
        <x:v>Aprobada técnicamente</x:v>
      </x:c>
      <x:c r="S40" s="60" t="n">
        <x:v>83</x:v>
      </x:c>
      <x:c r="T40" s="58" t="str">
        <x:v>alta</x:v>
      </x:c>
      <x:c r="U40" s="60" t="n">
        <x:v>200</x:v>
      </x:c>
      <x:c r="V40" s="58" t="str">
        <x:v>Permite</x:v>
      </x:c>
      <x:c r="W40" s="64" t="str">
        <x:v>https://culturaantofagasta.cl/</x:v>
      </x:c>
      <x:c r="X40" s="62" t="n">
        <x:v>46271.058424525465</x:v>
      </x:c>
      <x:c r="Y40" s="58" t="str">
        <x:v>0 objetos Event JSON-LD | 0 señales | /</x:v>
      </x:c>
    </x:row>
    <x:row r="41" ht="42" customHeight="1">
      <x:c r="A41" s="9" t="str">
        <x:v>CL-FUE-0040</x:v>
      </x:c>
      <x:c r="B41" s="7" t="str">
        <x:v>Teatro Municipal de Antofagasta</x:v>
      </x:c>
      <x:c r="C41" s="7" t="str">
        <x:v>Corporación Cultural de Antofagasta</x:v>
      </x:c>
      <x:c r="D41" s="7" t="str">
        <x:v>Teatro municipal</x:v>
      </x:c>
      <x:c r="E41" s="7" t="str">
        <x:v>Regional</x:v>
      </x:c>
      <x:c r="F41" s="7" t="str">
        <x:v>Región de Antofagasta</x:v>
      </x:c>
      <x:c r="G41" s="7" t="str">
        <x:v>Antofagasta</x:v>
      </x:c>
      <x:c r="H41" s="7" t="str">
        <x:v>Teatro; Música; Danza</x:v>
      </x:c>
      <x:c r="I41" s="7" t="str">
        <x:v>Cartelera</x:v>
      </x:c>
      <x:c r="J41" s="10" t="str">
        <x:v>https://culturaantofagasta.cl/</x:v>
      </x:c>
      <x:c r="K41" s="10" t="str">
        <x:v>https://culturaantofagasta.cl/</x:v>
      </x:c>
      <x:c r="L41" s="7" t="str">
        <x:v>Candidata verificada</x:v>
      </x:c>
      <x:c r="M41" s="7" t="str">
        <x:v>Sí</x:v>
      </x:c>
      <x:c r="N41" s="7" t="str">
        <x:v>Media</x:v>
      </x:c>
      <x:c r="O41" s="7" t="str">
        <x:v>HTML</x:v>
      </x:c>
      <x:c r="P41" s="8" t="n">
        <x:v>46270.666666666664</x:v>
      </x:c>
      <x:c r="Q41" s="7" t="str">
        <x:v>Fuente digital recurrente; validar términos, paginación y estabilidad antes de integrarla.</x:v>
      </x:c>
      <x:c r="R41" s="58" t="str">
        <x:v>Aprobada técnicamente</x:v>
      </x:c>
      <x:c r="S41" s="60" t="n">
        <x:v>83</x:v>
      </x:c>
      <x:c r="T41" s="58" t="str">
        <x:v>alta</x:v>
      </x:c>
      <x:c r="U41" s="60" t="n">
        <x:v>200</x:v>
      </x:c>
      <x:c r="V41" s="58" t="str">
        <x:v>Permite</x:v>
      </x:c>
      <x:c r="W41" s="64" t="str">
        <x:v>https://culturaantofagasta.cl/</x:v>
      </x:c>
      <x:c r="X41" s="62" t="n">
        <x:v>46271.0584562963</x:v>
      </x:c>
      <x:c r="Y41" s="58" t="str">
        <x:v>0 objetos Event JSON-LD | 0 señales | /</x:v>
      </x:c>
    </x:row>
    <x:row r="42" ht="42" customHeight="1">
      <x:c r="A42" s="9" t="str">
        <x:v>CL-FUE-0041</x:v>
      </x:c>
      <x:c r="B42" s="7" t="str">
        <x:v>Fundación Cultural San Pedro de Atacama</x:v>
      </x:c>
      <x:c r="C42" s="7" t="str">
        <x:v>Fundación de Cultura de San Pedro de Atacama</x:v>
      </x:c>
      <x:c r="D42" s="7" t="str">
        <x:v>Centro cultural</x:v>
      </x:c>
      <x:c r="E42" s="7" t="str">
        <x:v>Comunal</x:v>
      </x:c>
      <x:c r="F42" s="7" t="str">
        <x:v>Región de Antofagasta</x:v>
      </x:c>
      <x:c r="G42" s="7" t="str">
        <x:v>San Pedro de Atacama</x:v>
      </x:c>
      <x:c r="H42" s="7" t="str">
        <x:v>Patrimonio; Pueblos originarios; Música; Artes</x:v>
      </x:c>
      <x:c r="I42" s="7" t="str">
        <x:v>Portal/redes</x:v>
      </x:c>
      <x:c r="J42" s="10" t="str">
        <x:v>https://fundacionspa.cl/</x:v>
      </x:c>
      <x:c r="K42" s="10" t="str">
        <x:v>https://fundacionspa.cl/</x:v>
      </x:c>
      <x:c r="L42" s="7" t="str">
        <x:v>Candidata verificada</x:v>
      </x:c>
      <x:c r="M42" s="7" t="str">
        <x:v>Sí</x:v>
      </x:c>
      <x:c r="N42" s="7" t="str">
        <x:v>Media</x:v>
      </x:c>
      <x:c r="O42" s="7" t="str">
        <x:v>HTML/redes</x:v>
      </x:c>
      <x:c r="P42" s="8" t="n">
        <x:v>46270.666666666664</x:v>
      </x:c>
      <x:c r="Q42" s="7" t="str">
        <x:v>Fuente digital recurrente; validar términos, paginación y estabilidad antes de integrarla.</x:v>
      </x:c>
      <x:c r="R42" s="58" t="str">
        <x:v>Aprobada técnicamente</x:v>
      </x:c>
      <x:c r="S42" s="60" t="n">
        <x:v>75</x:v>
      </x:c>
      <x:c r="T42" s="58" t="str">
        <x:v>media</x:v>
      </x:c>
      <x:c r="U42" s="60" t="n">
        <x:v>200</x:v>
      </x:c>
      <x:c r="V42" s="58" t="str">
        <x:v>Permite</x:v>
      </x:c>
      <x:c r="W42" s="64" t="str">
        <x:v>https://www.fundacionspa.cl/</x:v>
      </x:c>
      <x:c r="X42" s="62" t="n">
        <x:v>46271.05847841435</x:v>
      </x:c>
      <x:c r="Y42" s="58" t="str">
        <x:v>actividades | 0 objetos Event JSON-LD | /</x:v>
      </x:c>
    </x:row>
    <x:row r="43" ht="42" customHeight="1">
      <x:c r="A43" s="9" t="str">
        <x:v>CL-FUE-0042</x:v>
      </x:c>
      <x:c r="B43" s="7" t="str">
        <x:v>Cultura Copiapó</x:v>
      </x:c>
      <x:c r="C43" s="7" t="str">
        <x:v>Municipalidad de Copiapó</x:v>
      </x:c>
      <x:c r="D43" s="7" t="str">
        <x:v>Agenda municipal</x:v>
      </x:c>
      <x:c r="E43" s="7" t="str">
        <x:v>Regional/comunal</x:v>
      </x:c>
      <x:c r="F43" s="7" t="str">
        <x:v>Región de Atacama</x:v>
      </x:c>
      <x:c r="G43" s="7" t="str">
        <x:v>Copiapó</x:v>
      </x:c>
      <x:c r="H43" s="7" t="str">
        <x:v>Multidisciplinario</x:v>
      </x:c>
      <x:c r="I43" s="7" t="str">
        <x:v>Portal municipal</x:v>
      </x:c>
      <x:c r="J43" s="10" t="str">
        <x:v>https://copiapo.cl/</x:v>
      </x:c>
      <x:c r="K43" s="10" t="str">
        <x:v>https://copiapo.cl/</x:v>
      </x:c>
      <x:c r="L43" s="7" t="str">
        <x:v>Candidata verificada</x:v>
      </x:c>
      <x:c r="M43" s="7" t="str">
        <x:v>Sí</x:v>
      </x:c>
      <x:c r="N43" s="7" t="str">
        <x:v>Baja</x:v>
      </x:c>
      <x:c r="O43" s="7" t="str">
        <x:v>HTML</x:v>
      </x:c>
      <x:c r="P43" s="8" t="n">
        <x:v>46270.666666666664</x:v>
      </x:c>
      <x:c r="Q43" s="7" t="str">
        <x:v>Fuente digital recurrente; validar términos, paginación y estabilidad antes de integrarla.</x:v>
      </x:c>
      <x:c r="R43" s="58" t="str">
        <x:v>Aprobada técnicamente</x:v>
      </x:c>
      <x:c r="S43" s="60" t="n">
        <x:v>84</x:v>
      </x:c>
      <x:c r="T43" s="58" t="str">
        <x:v>alta</x:v>
      </x:c>
      <x:c r="U43" s="60" t="n">
        <x:v>200</x:v>
      </x:c>
      <x:c r="V43" s="58" t="str">
        <x:v>Permite</x:v>
      </x:c>
      <x:c r="W43" s="64" t="str">
        <x:v>https://copiapo.cl/</x:v>
      </x:c>
      <x:c r="X43" s="62" t="n">
        <x:v>46271.05843324074</x:v>
      </x:c>
      <x:c r="Y43" s="58" t="str">
        <x:v>0 objetos Event JSON-LD | 0 enlaces | /</x:v>
      </x:c>
    </x:row>
    <x:row r="44" ht="42" customHeight="1">
      <x:c r="A44" s="9" t="str">
        <x:v>CL-FUE-0043</x:v>
      </x:c>
      <x:c r="B44" s="7" t="str">
        <x:v>Centro Cultural Atacama</x:v>
      </x:c>
      <x:c r="C44" s="7" t="str">
        <x:v>Municipalidad de Copiapó</x:v>
      </x:c>
      <x:c r="D44" s="7" t="str">
        <x:v>Centro cultural</x:v>
      </x:c>
      <x:c r="E44" s="7" t="str">
        <x:v>Regional</x:v>
      </x:c>
      <x:c r="F44" s="7" t="str">
        <x:v>Región de Atacama</x:v>
      </x:c>
      <x:c r="G44" s="7" t="str">
        <x:v>Copiapó</x:v>
      </x:c>
      <x:c r="H44" s="7" t="str">
        <x:v>Teatro; Música; Danza; Artes</x:v>
      </x:c>
      <x:c r="I44" s="7" t="str">
        <x:v>Cartelera/redes</x:v>
      </x:c>
      <x:c r="J44" s="10" t="str">
        <x:v>https://copiapo.cl/</x:v>
      </x:c>
      <x:c r="K44" s="10" t="str">
        <x:v>https://copiapo.cl/</x:v>
      </x:c>
      <x:c r="L44" s="7" t="str">
        <x:v>Candidata verificada</x:v>
      </x:c>
      <x:c r="M44" s="7" t="str">
        <x:v>Sí</x:v>
      </x:c>
      <x:c r="N44" s="7" t="str">
        <x:v>Media</x:v>
      </x:c>
      <x:c r="O44" s="7" t="str">
        <x:v>HTML/redes</x:v>
      </x:c>
      <x:c r="P44" s="8" t="n">
        <x:v>46270.666666666664</x:v>
      </x:c>
      <x:c r="Q44" s="7" t="str">
        <x:v>Fuente digital recurrente; validar términos, paginación y estabilidad antes de integrarla.</x:v>
      </x:c>
      <x:c r="R44" s="58" t="str">
        <x:v>Aprobada técnicamente</x:v>
      </x:c>
      <x:c r="S44" s="60" t="n">
        <x:v>84</x:v>
      </x:c>
      <x:c r="T44" s="58" t="str">
        <x:v>alta</x:v>
      </x:c>
      <x:c r="U44" s="60" t="n">
        <x:v>200</x:v>
      </x:c>
      <x:c r="V44" s="58" t="str">
        <x:v>Permite</x:v>
      </x:c>
      <x:c r="W44" s="64" t="str">
        <x:v>https://copiapo.cl/</x:v>
      </x:c>
      <x:c r="X44" s="62" t="n">
        <x:v>46271.05845297454</x:v>
      </x:c>
      <x:c r="Y44" s="58" t="str">
        <x:v>0 objetos Event JSON-LD | 0 enlaces | /</x:v>
      </x:c>
    </x:row>
    <x:row r="45" ht="42" customHeight="1">
      <x:c r="A45" s="9" t="str">
        <x:v>CL-FUE-0044</x:v>
      </x:c>
      <x:c r="B45" s="7" t="str">
        <x:v>Cultura La Serena</x:v>
      </x:c>
      <x:c r="C45" s="7" t="str">
        <x:v>Municipalidad de La Serena</x:v>
      </x:c>
      <x:c r="D45" s="7" t="str">
        <x:v>Agenda municipal</x:v>
      </x:c>
      <x:c r="E45" s="7" t="str">
        <x:v>Regional/comunal</x:v>
      </x:c>
      <x:c r="F45" s="7" t="str">
        <x:v>Región de Coquimbo</x:v>
      </x:c>
      <x:c r="G45" s="7" t="str">
        <x:v>La Serena</x:v>
      </x:c>
      <x:c r="H45" s="7" t="str">
        <x:v>Multidisciplinario; Patrimonio</x:v>
      </x:c>
      <x:c r="I45" s="7" t="str">
        <x:v>Portal municipal</x:v>
      </x:c>
      <x:c r="J45" s="10" t="str">
        <x:v>https://www.laserena.cl/</x:v>
      </x:c>
      <x:c r="K45" s="10" t="str">
        <x:v>https://www.laserena.cl/</x:v>
      </x:c>
      <x:c r="L45" s="7" t="str">
        <x:v>Candidata verificada</x:v>
      </x:c>
      <x:c r="M45" s="7" t="str">
        <x:v>Sí</x:v>
      </x:c>
      <x:c r="N45" s="7" t="str">
        <x:v>Media</x:v>
      </x:c>
      <x:c r="O45" s="7" t="str">
        <x:v>HTML</x:v>
      </x:c>
      <x:c r="P45" s="8" t="n">
        <x:v>46270.666666666664</x:v>
      </x:c>
      <x:c r="Q45" s="7" t="str">
        <x:v>Fuente digital recurrente; validar términos, paginación y estabilidad antes de integrarla.</x:v>
      </x:c>
      <x:c r="R45" s="58" t="str">
        <x:v>Revisión manual</x:v>
      </x:c>
      <x:c r="S45" s="60" t="n">
        <x:v>53</x:v>
      </x:c>
      <x:c r="T45" s="58" t="str">
        <x:v>media</x:v>
      </x:c>
      <x:c r="U45" s="60" t="n">
        <x:v>200</x:v>
      </x:c>
      <x:c r="V45" s="58" t="str">
        <x:v>Permite</x:v>
      </x:c>
      <x:c r="W45" s="64" t="str">
        <x:v>https://laserena.cl/</x:v>
      </x:c>
      <x:c r="X45" s="62" t="n">
        <x:v>46271.058443553244</x:v>
      </x:c>
      <x:c r="Y45" s="58" t="str">
        <x:v>sin términos de agenda | 0 objetos Event JSON-LD | 0 señales</x:v>
      </x:c>
    </x:row>
    <x:row r="46" ht="42" customHeight="1">
      <x:c r="A46" s="9" t="str">
        <x:v>CL-FUE-0045</x:v>
      </x:c>
      <x:c r="B46" s="7" t="str">
        <x:v>Teatro Municipal de La Serena</x:v>
      </x:c>
      <x:c r="C46" s="7" t="str">
        <x:v>Municipalidad de La Serena</x:v>
      </x:c>
      <x:c r="D46" s="7" t="str">
        <x:v>Teatro municipal</x:v>
      </x:c>
      <x:c r="E46" s="7" t="str">
        <x:v>Regional</x:v>
      </x:c>
      <x:c r="F46" s="7" t="str">
        <x:v>Región de Coquimbo</x:v>
      </x:c>
      <x:c r="G46" s="7" t="str">
        <x:v>La Serena</x:v>
      </x:c>
      <x:c r="H46" s="7" t="str">
        <x:v>Teatro; Música; Danza</x:v>
      </x:c>
      <x:c r="I46" s="7" t="str">
        <x:v>Cartelera/redes</x:v>
      </x:c>
      <x:c r="J46" s="10" t="str">
        <x:v>https://www.laserena.cl/</x:v>
      </x:c>
      <x:c r="K46" s="10" t="str">
        <x:v>https://www.laserena.cl/</x:v>
      </x:c>
      <x:c r="L46" s="7" t="str">
        <x:v>Candidata verificada</x:v>
      </x:c>
      <x:c r="M46" s="7" t="str">
        <x:v>Sí</x:v>
      </x:c>
      <x:c r="N46" s="7" t="str">
        <x:v>Media</x:v>
      </x:c>
      <x:c r="O46" s="7" t="str">
        <x:v>HTML/redes</x:v>
      </x:c>
      <x:c r="P46" s="8" t="n">
        <x:v>46270.666666666664</x:v>
      </x:c>
      <x:c r="Q46" s="7" t="str">
        <x:v>Fuente digital recurrente; validar términos, paginación y estabilidad antes de integrarla.</x:v>
      </x:c>
      <x:c r="R46" s="58" t="str">
        <x:v>Revisión manual</x:v>
      </x:c>
      <x:c r="S46" s="60" t="n">
        <x:v>57</x:v>
      </x:c>
      <x:c r="T46" s="58" t="str">
        <x:v>media</x:v>
      </x:c>
      <x:c r="U46" s="60" t="n">
        <x:v>200</x:v>
      </x:c>
      <x:c r="V46" s="58" t="str">
        <x:v>Permite</x:v>
      </x:c>
      <x:c r="W46" s="64" t="str">
        <x:v>https://laserena.cl/</x:v>
      </x:c>
      <x:c r="X46" s="62" t="n">
        <x:v>46271.0584609838</x:v>
      </x:c>
      <x:c r="Y46" s="58" t="str">
        <x:v>sin términos de agenda | 0 objetos Event JSON-LD | 0 señales</x:v>
      </x:c>
    </x:row>
    <x:row r="47" ht="42" customHeight="1">
      <x:c r="A47" s="9" t="str">
        <x:v>CL-FUE-0046</x:v>
      </x:c>
      <x:c r="B47" s="7" t="str">
        <x:v>Centro Cultural Palace</x:v>
      </x:c>
      <x:c r="C47" s="7" t="str">
        <x:v>Municipalidad de Coquimbo</x:v>
      </x:c>
      <x:c r="D47" s="7" t="str">
        <x:v>Centro cultural</x:v>
      </x:c>
      <x:c r="E47" s="7" t="str">
        <x:v>Regional/comunal</x:v>
      </x:c>
      <x:c r="F47" s="7" t="str">
        <x:v>Región de Coquimbo</x:v>
      </x:c>
      <x:c r="G47" s="7" t="str">
        <x:v>Coquimbo</x:v>
      </x:c>
      <x:c r="H47" s="7" t="str">
        <x:v>Artes visuales; Música; Teatro; Patrimonio</x:v>
      </x:c>
      <x:c r="I47" s="7" t="str">
        <x:v>Cartelera</x:v>
      </x:c>
      <x:c r="J47" s="10" t="str">
        <x:v>https://centroculturalpalace.cl/</x:v>
      </x:c>
      <x:c r="K47" s="10" t="str">
        <x:v>https://centroculturalpalace.cl/</x:v>
      </x:c>
      <x:c r="L47" s="7" t="str">
        <x:v>Candidata verificada</x:v>
      </x:c>
      <x:c r="M47" s="7" t="str">
        <x:v>Sí</x:v>
      </x:c>
      <x:c r="N47" s="7" t="str">
        <x:v>Alta</x:v>
      </x:c>
      <x:c r="O47" s="7" t="str">
        <x:v>HTML</x:v>
      </x:c>
      <x:c r="P47" s="8" t="n">
        <x:v>46270.666666666664</x:v>
      </x:c>
      <x:c r="Q47" s="7" t="str">
        <x:v>Fuente digital recurrente; validar términos, paginación y estabilidad antes de integrarla.</x:v>
      </x:c>
      <x:c r="R47" s="58" t="str">
        <x:v>Revisión manual</x:v>
      </x:c>
      <x:c r="S47" s="60" t="n">
        <x:v>40</x:v>
      </x:c>
      <x:c r="T47" s="58" t="str">
        <x:v>media</x:v>
      </x:c>
      <x:c r="U47" s="60"/>
      <x:c r="V47" s="58" t="str">
        <x:v>Sin dato</x:v>
      </x:c>
      <x:c r="W47" s="64" t="str"/>
      <x:c r="X47" s="62" t="n">
        <x:v>46271.058436099534</x:v>
      </x:c>
      <x:c r="Y47" s="58" t="str">
        <x:v>error_red: HTTPSConnectionPool(host='centroculturalpalace.cl', port=443): Max retries exceeded with url: / (Caused by NameResolutionError("HTTPSConnection(host='centroculturalpalace.cl', port=443): Failed to resolve 'centroculturalpalace.cl' ([Errno 1 | sin Content-Type | sin términos de agenda</x:v>
      </x:c>
    </x:row>
    <x:row r="48" ht="42" customHeight="1">
      <x:c r="A48" s="9" t="str">
        <x:v>CL-FUE-0047</x:v>
      </x:c>
      <x:c r="B48" s="7" t="str">
        <x:v>Teatro Municipal de Ovalle</x:v>
      </x:c>
      <x:c r="C48" s="7" t="str">
        <x:v>Corporación Cultural Municipal de Ovalle</x:v>
      </x:c>
      <x:c r="D48" s="7" t="str">
        <x:v>Teatro municipal</x:v>
      </x:c>
      <x:c r="E48" s="7" t="str">
        <x:v>Regional</x:v>
      </x:c>
      <x:c r="F48" s="7" t="str">
        <x:v>Región de Coquimbo</x:v>
      </x:c>
      <x:c r="G48" s="7" t="str">
        <x:v>Ovalle</x:v>
      </x:c>
      <x:c r="H48" s="7" t="str">
        <x:v>Teatro; Música; Danza</x:v>
      </x:c>
      <x:c r="I48" s="7" t="str">
        <x:v>Cartelera</x:v>
      </x:c>
      <x:c r="J48" s="10" t="str">
        <x:v>https://www.tmo.cl/</x:v>
      </x:c>
      <x:c r="K48" s="10" t="str">
        <x:v>https://www.tmo.cl/</x:v>
      </x:c>
      <x:c r="L48" s="7" t="str">
        <x:v>Candidata verificada</x:v>
      </x:c>
      <x:c r="M48" s="7" t="str">
        <x:v>Sí</x:v>
      </x:c>
      <x:c r="N48" s="7" t="str">
        <x:v>Alta</x:v>
      </x:c>
      <x:c r="O48" s="7" t="str">
        <x:v>HTML</x:v>
      </x:c>
      <x:c r="P48" s="8" t="n">
        <x:v>46270.666666666664</x:v>
      </x:c>
      <x:c r="Q48" s="7" t="str">
        <x:v>Fuente digital recurrente; validar términos, paginación y estabilidad antes de integrarla.</x:v>
      </x:c>
      <x:c r="R48" s="58" t="str">
        <x:v>Aprobada técnicamente</x:v>
      </x:c>
      <x:c r="S48" s="60" t="n">
        <x:v>83</x:v>
      </x:c>
      <x:c r="T48" s="58" t="str">
        <x:v>alta</x:v>
      </x:c>
      <x:c r="U48" s="60" t="n">
        <x:v>200</x:v>
      </x:c>
      <x:c r="V48" s="58" t="str">
        <x:v>Sin dato</x:v>
      </x:c>
      <x:c r="W48" s="64" t="str">
        <x:v>https://ccmo.cl/web/</x:v>
      </x:c>
      <x:c r="X48" s="62" t="n">
        <x:v>46271.058518287035</x:v>
      </x:c>
      <x:c r="Y48" s="58" t="str">
        <x:v>0 objetos Event JSON-LD | /web/</x:v>
      </x:c>
    </x:row>
    <x:row r="49" ht="42" customHeight="1">
      <x:c r="A49" s="9" t="str">
        <x:v>CL-FUE-0048</x:v>
      </x:c>
      <x:c r="B49" s="7" t="str">
        <x:v>Parque Cultural de Valparaíso</x:v>
      </x:c>
      <x:c r="C49" s="7" t="str">
        <x:v>Parque Cultural de Valparaíso</x:v>
      </x:c>
      <x:c r="D49" s="7" t="str">
        <x:v>Centro cultural</x:v>
      </x:c>
      <x:c r="E49" s="7" t="str">
        <x:v>Regional</x:v>
      </x:c>
      <x:c r="F49" s="7" t="str">
        <x:v>Región de Valparaíso</x:v>
      </x:c>
      <x:c r="G49" s="7" t="str">
        <x:v>Valparaíso</x:v>
      </x:c>
      <x:c r="H49" s="7" t="str">
        <x:v>Artes escénicas; Música; Artes visuales; Patrimonio</x:v>
      </x:c>
      <x:c r="I49" s="7" t="str">
        <x:v>Programación</x:v>
      </x:c>
      <x:c r="J49" s="10" t="str">
        <x:v>https://parquecultural.cl/</x:v>
      </x:c>
      <x:c r="K49" s="10" t="str">
        <x:v>https://parquecultural.cl/</x:v>
      </x:c>
      <x:c r="L49" s="7" t="str">
        <x:v>Integrada operativa</x:v>
      </x:c>
      <x:c r="M49" s="7" t="str">
        <x:v>Sí</x:v>
      </x:c>
      <x:c r="N49" s="7" t="str">
        <x:v>Alta</x:v>
      </x:c>
      <x:c r="O49" s="7" t="str">
        <x:v>HTML</x:v>
      </x:c>
      <x:c r="P49" s="8" t="n">
        <x:v>46270.666666666664</x:v>
      </x:c>
      <x:c r="Q49" s="7" t="str">
        <x:v>Configurada el 14-09-2026: API WordPress pública events_list.</x:v>
      </x:c>
      <x:c r="R49" s="58" t="str">
        <x:v>Aprobada técnicamente</x:v>
      </x:c>
      <x:c r="S49" s="60" t="n">
        <x:v>100</x:v>
      </x:c>
      <x:c r="T49" s="58" t="str">
        <x:v>alta</x:v>
      </x:c>
      <x:c r="U49" s="60" t="n">
        <x:v>200</x:v>
      </x:c>
      <x:c r="V49" s="58" t="str">
        <x:v>Permite</x:v>
      </x:c>
      <x:c r="W49" s="64" t="str">
        <x:v>https://parquecultural.cl/</x:v>
      </x:c>
      <x:c r="X49" s="94" t="n">
        <x:v>46279.625</x:v>
      </x:c>
      <x:c r="Y49" s="58" t="str">
        <x:v>Extracción declarativa con fechas ACF, enlace oficial e imagen del evento.</x:v>
      </x:c>
    </x:row>
    <x:row r="50" ht="42" customHeight="1">
      <x:c r="A50" s="9" t="str">
        <x:v>CL-FUE-0049</x:v>
      </x:c>
      <x:c r="B50" s="7" t="str">
        <x:v>CENTEX</x:v>
      </x:c>
      <x:c r="C50" s="7" t="str">
        <x:v>Ministerio de las Culturas, las Artes y el Patrimonio</x:v>
      </x:c>
      <x:c r="D50" s="7" t="str">
        <x:v>Centro cultural</x:v>
      </x:c>
      <x:c r="E50" s="7" t="str">
        <x:v>Regional</x:v>
      </x:c>
      <x:c r="F50" s="7" t="str">
        <x:v>Región de Valparaíso</x:v>
      </x:c>
      <x:c r="G50" s="7" t="str">
        <x:v>Valparaíso</x:v>
      </x:c>
      <x:c r="H50" s="7" t="str">
        <x:v>Artes; Patrimonio; Mediación</x:v>
      </x:c>
      <x:c r="I50" s="7" t="str">
        <x:v>Programación</x:v>
      </x:c>
      <x:c r="J50" s="10" t="str">
        <x:v>https://centex.cultura.gob.cl/category/programacion/</x:v>
      </x:c>
      <x:c r="K50" s="10" t="str">
        <x:v>https://centex.cultura.gob.cl/</x:v>
      </x:c>
      <x:c r="L50" s="7" t="str">
        <x:v>Candidata verificada</x:v>
      </x:c>
      <x:c r="M50" s="7" t="str">
        <x:v>Sí</x:v>
      </x:c>
      <x:c r="N50" s="7" t="str">
        <x:v>Alta</x:v>
      </x:c>
      <x:c r="O50" s="7" t="str">
        <x:v>HTML</x:v>
      </x:c>
      <x:c r="P50" s="8" t="n">
        <x:v>46270.666666666664</x:v>
      </x:c>
      <x:c r="Q50" s="7" t="str">
        <x:v>Fuente digital recurrente; validar términos, paginación y estabilidad antes de integrarla.</x:v>
      </x:c>
      <x:c r="R50" s="58" t="str">
        <x:v>Aprobada técnicamente</x:v>
      </x:c>
      <x:c r="S50" s="60" t="n">
        <x:v>100</x:v>
      </x:c>
      <x:c r="T50" s="58" t="str">
        <x:v>alta</x:v>
      </x:c>
      <x:c r="U50" s="60" t="n">
        <x:v>200</x:v>
      </x:c>
      <x:c r="V50" s="58" t="str">
        <x:v>Permite</x:v>
      </x:c>
      <x:c r="W50" s="64" t="str">
        <x:v>https://centex.cultura.gob.cl/category/programacion/</x:v>
      </x:c>
      <x:c r="X50" s="94" t="n">
        <x:v>46271.05847503472</x:v>
      </x:c>
      <x:c r="Y50" s="58" t="str">
        <x:v>0 objetos Event JSON-LD</x:v>
      </x:c>
    </x:row>
    <x:row r="51" ht="42" customHeight="1">
      <x:c r="A51" s="9" t="str">
        <x:v>CL-FUE-0050</x:v>
      </x:c>
      <x:c r="B51" s="7" t="str">
        <x:v>Teatro Municipal de Valparaíso</x:v>
      </x:c>
      <x:c r="C51" s="7" t="str">
        <x:v>Municipalidad de Valparaíso</x:v>
      </x:c>
      <x:c r="D51" s="7" t="str">
        <x:v>Teatro municipal</x:v>
      </x:c>
      <x:c r="E51" s="7" t="str">
        <x:v>Regional</x:v>
      </x:c>
      <x:c r="F51" s="7" t="str">
        <x:v>Región de Valparaíso</x:v>
      </x:c>
      <x:c r="G51" s="7" t="str">
        <x:v>Valparaíso</x:v>
      </x:c>
      <x:c r="H51" s="7" t="str">
        <x:v>Teatro; Música; Danza</x:v>
      </x:c>
      <x:c r="I51" s="7" t="str">
        <x:v>Cartelera</x:v>
      </x:c>
      <x:c r="J51" s="10" t="str">
        <x:v>https://teatromunicipalvalparaiso.cl/</x:v>
      </x:c>
      <x:c r="K51" s="10" t="str">
        <x:v>https://teatromunicipalvalparaiso.cl/</x:v>
      </x:c>
      <x:c r="L51" s="7" t="str">
        <x:v>Candidata verificada</x:v>
      </x:c>
      <x:c r="M51" s="7" t="str">
        <x:v>Sí</x:v>
      </x:c>
      <x:c r="N51" s="7" t="str">
        <x:v>Alta</x:v>
      </x:c>
      <x:c r="O51" s="7" t="str">
        <x:v>HTML</x:v>
      </x:c>
      <x:c r="P51" s="8" t="n">
        <x:v>46270.666666666664</x:v>
      </x:c>
      <x:c r="Q51" s="7" t="str">
        <x:v>Fuente digital recurrente; validar términos, paginación y estabilidad antes de integrarla.</x:v>
      </x:c>
      <x:c r="R51" s="58" t="str">
        <x:v>Revisión manual</x:v>
      </x:c>
      <x:c r="S51" s="60" t="n">
        <x:v>32</x:v>
      </x:c>
      <x:c r="T51" s="58" t="str">
        <x:v>media</x:v>
      </x:c>
      <x:c r="U51" s="60"/>
      <x:c r="V51" s="58" t="str">
        <x:v>Sin dato</x:v>
      </x:c>
      <x:c r="W51" s="64" t="str"/>
      <x:c r="X51" s="94" t="n">
        <x:v>46271.05845673611</x:v>
      </x:c>
      <x:c r="Y51" s="58" t="str">
        <x:v>error_red: HTTPSConnectionPool(host='teatromunicipalvalparaiso.cl', port=443): Max retries exceeded with url: / (Caused by NameResolutionError("HTTPSConnection(host='teatromunicipalvalparaiso.cl', port=443): Failed to resolve 'teatromunicipalvalparais | sin Content-Type | sin términos de agenda</x:v>
      </x:c>
    </x:row>
    <x:row r="52" ht="42" customHeight="1">
      <x:c r="A52" s="9" t="str">
        <x:v>CL-FUE-0051</x:v>
      </x:c>
      <x:c r="B52" s="7" t="str">
        <x:v>Museo Baburizza</x:v>
      </x:c>
      <x:c r="C52" s="7" t="str">
        <x:v>Corporación Museo de Bellas Artes de Valparaíso</x:v>
      </x:c>
      <x:c r="D52" s="7" t="str">
        <x:v>Museo</x:v>
      </x:c>
      <x:c r="E52" s="7" t="str">
        <x:v>Regional</x:v>
      </x:c>
      <x:c r="F52" s="7" t="str">
        <x:v>Región de Valparaíso</x:v>
      </x:c>
      <x:c r="G52" s="7" t="str">
        <x:v>Valparaíso</x:v>
      </x:c>
      <x:c r="H52" s="7" t="str">
        <x:v>Artes visuales; Patrimonio</x:v>
      </x:c>
      <x:c r="I52" s="7" t="str">
        <x:v>Actividades</x:v>
      </x:c>
      <x:c r="J52" s="10" t="str">
        <x:v>https://museobaburizza.cl/</x:v>
      </x:c>
      <x:c r="K52" s="10" t="str">
        <x:v>https://museobaburizza.cl/</x:v>
      </x:c>
      <x:c r="L52" s="7" t="str">
        <x:v>Candidata verificada</x:v>
      </x:c>
      <x:c r="M52" s="7" t="str">
        <x:v>Sí</x:v>
      </x:c>
      <x:c r="N52" s="7" t="str">
        <x:v>Media</x:v>
      </x:c>
      <x:c r="O52" s="7" t="str">
        <x:v>HTML</x:v>
      </x:c>
      <x:c r="P52" s="8" t="n">
        <x:v>46270.666666666664</x:v>
      </x:c>
      <x:c r="Q52" s="7" t="str">
        <x:v>Fuente digital recurrente; validar términos, paginación y estabilidad antes de integrarla.</x:v>
      </x:c>
      <x:c r="R52" s="58" t="str">
        <x:v>Aprobada técnicamente</x:v>
      </x:c>
      <x:c r="S52" s="60" t="n">
        <x:v>91</x:v>
      </x:c>
      <x:c r="T52" s="58" t="str">
        <x:v>alta</x:v>
      </x:c>
      <x:c r="U52" s="60" t="n">
        <x:v>200</x:v>
      </x:c>
      <x:c r="V52" s="58" t="str">
        <x:v>Permite</x:v>
      </x:c>
      <x:c r="W52" s="64" t="str">
        <x:v>https://www.museobaburizza.cl/</x:v>
      </x:c>
      <x:c r="X52" s="94" t="n">
        <x:v>46271.058700636575</x:v>
      </x:c>
      <x:c r="Y52" s="58" t="str">
        <x:v>0 objetos Event JSON-LD | /</x:v>
      </x:c>
    </x:row>
    <x:row r="53" ht="42" customHeight="1">
      <x:c r="A53" s="9" t="str">
        <x:v>CL-FUE-0052</x:v>
      </x:c>
      <x:c r="B53" s="7" t="str">
        <x:v>Festival Internacional de Cine de Viña del Mar</x:v>
      </x:c>
      <x:c r="C53" s="7" t="str">
        <x:v>Municipalidad de Viña del Mar / Universidad de Valparaíso</x:v>
      </x:c>
      <x:c r="D53" s="7" t="str">
        <x:v>Festival</x:v>
      </x:c>
      <x:c r="E53" s="7" t="str">
        <x:v>Nacional/internacional</x:v>
      </x:c>
      <x:c r="F53" s="7" t="str">
        <x:v>Región de Valparaíso</x:v>
      </x:c>
      <x:c r="G53" s="7" t="str">
        <x:v>Viña del Mar</x:v>
      </x:c>
      <x:c r="H53" s="7" t="str">
        <x:v>Cine; Audiovisual</x:v>
      </x:c>
      <x:c r="I53" s="7" t="str">
        <x:v>Programación</x:v>
      </x:c>
      <x:c r="J53" s="10" t="str">
        <x:v>https://ficvina.cl/</x:v>
      </x:c>
      <x:c r="K53" s="10" t="str">
        <x:v>https://ficvina.cl/</x:v>
      </x:c>
      <x:c r="L53" s="7" t="str">
        <x:v>Candidata verificada</x:v>
      </x:c>
      <x:c r="M53" s="7" t="str">
        <x:v>Sí</x:v>
      </x:c>
      <x:c r="N53" s="7" t="str">
        <x:v>Media</x:v>
      </x:c>
      <x:c r="O53" s="7" t="str">
        <x:v>HTML</x:v>
      </x:c>
      <x:c r="P53" s="8" t="n">
        <x:v>46270.666666666664</x:v>
      </x:c>
      <x:c r="Q53" s="7" t="str">
        <x:v>Fuente digital recurrente; validar términos, paginación y estabilidad antes de integrarla.</x:v>
      </x:c>
      <x:c r="R53" s="58" t="str">
        <x:v>Aprobada técnicamente</x:v>
      </x:c>
      <x:c r="S53" s="60" t="n">
        <x:v>71</x:v>
      </x:c>
      <x:c r="T53" s="58" t="str">
        <x:v>media</x:v>
      </x:c>
      <x:c r="U53" s="60" t="n">
        <x:v>200</x:v>
      </x:c>
      <x:c r="V53" s="58" t="str">
        <x:v>Permite</x:v>
      </x:c>
      <x:c r="W53" s="64" t="str">
        <x:v>https://cinevina.cl/</x:v>
      </x:c>
      <x:c r="X53" s="94" t="n">
        <x:v>46271.05854952546</x:v>
      </x:c>
      <x:c r="Y53" s="58" t="str">
        <x:v>0 objetos Event JSON-LD | /</x:v>
      </x:c>
    </x:row>
    <x:row r="54" ht="42" customHeight="1">
      <x:c r="A54" s="9" t="str">
        <x:v>CL-FUE-0053</x:v>
      </x:c>
      <x:c r="B54" s="7" t="str">
        <x:v>Matucana 100</x:v>
      </x:c>
      <x:c r="C54" s="7" t="str">
        <x:v>Corporación Cultural Matucana 100</x:v>
      </x:c>
      <x:c r="D54" s="7" t="str">
        <x:v>Centro cultural</x:v>
      </x:c>
      <x:c r="E54" s="7" t="str">
        <x:v>Regional/nacional</x:v>
      </x:c>
      <x:c r="F54" s="7" t="str">
        <x:v>Región Metropolitana de Santiago</x:v>
      </x:c>
      <x:c r="G54" s="7" t="str">
        <x:v>Estación Central</x:v>
      </x:c>
      <x:c r="H54" s="7" t="str">
        <x:v>Teatro; Danza; Música; Cine; Artes visuales</x:v>
      </x:c>
      <x:c r="I54" s="7" t="str">
        <x:v>Cartelera</x:v>
      </x:c>
      <x:c r="J54" s="10" t="str">
        <x:v>https://www.m100.cl/</x:v>
      </x:c>
      <x:c r="K54" s="10" t="str">
        <x:v>https://www.m100.cl/</x:v>
      </x:c>
      <x:c r="L54" s="7" t="str">
        <x:v>Candidata verificada</x:v>
      </x:c>
      <x:c r="M54" s="7" t="str">
        <x:v>Sí</x:v>
      </x:c>
      <x:c r="N54" s="7" t="str">
        <x:v>Alta</x:v>
      </x:c>
      <x:c r="O54" s="7" t="str">
        <x:v>HTML</x:v>
      </x:c>
      <x:c r="P54" s="8" t="n">
        <x:v>46270.666666666664</x:v>
      </x:c>
      <x:c r="Q54" s="7" t="str">
        <x:v>Fuente digital recurrente; validar términos, paginación y estabilidad antes de integrarla.</x:v>
      </x:c>
      <x:c r="R54" s="58" t="str">
        <x:v>Aprobada técnicamente</x:v>
      </x:c>
      <x:c r="S54" s="60" t="n">
        <x:v>88</x:v>
      </x:c>
      <x:c r="T54" s="58" t="str">
        <x:v>alta</x:v>
      </x:c>
      <x:c r="U54" s="60" t="n">
        <x:v>200</x:v>
      </x:c>
      <x:c r="V54" s="58" t="str">
        <x:v>Permite</x:v>
      </x:c>
      <x:c r="W54" s="64" t="str">
        <x:v>https://www.m100.cl/</x:v>
      </x:c>
      <x:c r="X54" s="94" t="n">
        <x:v>46271.05850993055</x:v>
      </x:c>
      <x:c r="Y54" s="58" t="str">
        <x:v>cartelera | 0 objetos Event JSON-LD | /</x:v>
      </x:c>
    </x:row>
    <x:row r="55" ht="42" customHeight="1">
      <x:c r="A55" s="9" t="str">
        <x:v>CL-FUE-0054</x:v>
      </x:c>
      <x:c r="B55" s="7" t="str">
        <x:v>Teatro Municipal de Santiago</x:v>
      </x:c>
      <x:c r="C55" s="7" t="str">
        <x:v>Corporación Cultural de Santiago</x:v>
      </x:c>
      <x:c r="D55" s="7" t="str">
        <x:v>Teatro</x:v>
      </x:c>
      <x:c r="E55" s="7" t="str">
        <x:v>Nacional</x:v>
      </x:c>
      <x:c r="F55" s="7" t="str">
        <x:v>Región Metropolitana de Santiago</x:v>
      </x:c>
      <x:c r="G55" s="7" t="str">
        <x:v>Santiago</x:v>
      </x:c>
      <x:c r="H55" s="7" t="str">
        <x:v>Ópera; Ballet; Música clásica</x:v>
      </x:c>
      <x:c r="I55" s="7" t="str">
        <x:v>Calendario</x:v>
      </x:c>
      <x:c r="J55" s="10" t="str">
        <x:v>https://municipal.cl/</x:v>
      </x:c>
      <x:c r="K55" s="10" t="str">
        <x:v>https://municipal.cl/</x:v>
      </x:c>
      <x:c r="L55" s="7" t="str">
        <x:v>Candidata verificada</x:v>
      </x:c>
      <x:c r="M55" s="7" t="str">
        <x:v>Sí</x:v>
      </x:c>
      <x:c r="N55" s="7" t="str">
        <x:v>Alta</x:v>
      </x:c>
      <x:c r="O55" s="7" t="str">
        <x:v>HTML</x:v>
      </x:c>
      <x:c r="P55" s="8" t="n">
        <x:v>46270.666666666664</x:v>
      </x:c>
      <x:c r="Q55" s="7" t="str">
        <x:v>Fuente digital recurrente; validar términos, paginación y estabilidad antes de integrarla.</x:v>
      </x:c>
      <x:c r="R55" s="58" t="str">
        <x:v>Aprobada técnicamente</x:v>
      </x:c>
      <x:c r="S55" s="60" t="n">
        <x:v>95</x:v>
      </x:c>
      <x:c r="T55" s="58" t="str">
        <x:v>alta</x:v>
      </x:c>
      <x:c r="U55" s="60" t="n">
        <x:v>200</x:v>
      </x:c>
      <x:c r="V55" s="58" t="str">
        <x:v>Permite</x:v>
      </x:c>
      <x:c r="W55" s="64" t="str">
        <x:v>https://municipal.cl/</x:v>
      </x:c>
      <x:c r="X55" s="94" t="n">
        <x:v>46271.058514282406</x:v>
      </x:c>
      <x:c r="Y55" s="58" t="str">
        <x:v>0 objetos Event JSON-LD | /</x:v>
      </x:c>
    </x:row>
    <x:row r="56" ht="42" customHeight="1">
      <x:c r="A56" s="9" t="str">
        <x:v>CL-FUE-0055</x:v>
      </x:c>
      <x:c r="B56" s="7" t="str">
        <x:v>Centro Cultural CEINA</x:v>
      </x:c>
      <x:c r="C56" s="7" t="str">
        <x:v>Fundación CEINA</x:v>
      </x:c>
      <x:c r="D56" s="7" t="str">
        <x:v>Fuente configurada en el prototipo</x:v>
      </x:c>
      <x:c r="E56" s="7" t="str">
        <x:v>Regional</x:v>
      </x:c>
      <x:c r="F56" s="7" t="str">
        <x:v>Región Metropolitana de Santiago</x:v>
      </x:c>
      <x:c r="G56" s="7" t="str">
        <x:v>Santiago</x:v>
      </x:c>
      <x:c r="H56" s="7" t="str">
        <x:v>Teatro; Música; Danza; Exposiciones</x:v>
      </x:c>
      <x:c r="I56" s="7" t="str">
        <x:v>Conector del prototipo</x:v>
      </x:c>
      <x:c r="J56" s="10" t="str">
        <x:v>https://ceina.cl/cartelera/</x:v>
      </x:c>
      <x:c r="K56" s="10" t="str">
        <x:v>https://ceina.cl/cartelera/</x:v>
      </x:c>
      <x:c r="L56" s="7" t="str">
        <x:v>Integrada operativa</x:v>
      </x:c>
      <x:c r="M56" s="7" t="str">
        <x:v>Sí</x:v>
      </x:c>
      <x:c r="N56" s="7" t="str">
        <x:v>Alta</x:v>
      </x:c>
      <x:c r="O56" s="7" t="str">
        <x:v>html_cards</x:v>
      </x:c>
      <x:c r="P56" s="8" t="n">
        <x:v>46286</x:v>
      </x:c>
      <x:c r="Q56" s="7" t="str">
        <x:v>Integración validada en vivo: 7 eventos vigentes con fechas, categorías, imágenes y fichas oficiales.</x:v>
      </x:c>
      <x:c r="R56" s="58" t="str">
        <x:v>Aprobada técnicamente</x:v>
      </x:c>
      <x:c r="S56" s="60" t="n">
        <x:v>100</x:v>
      </x:c>
      <x:c r="T56" s="58" t="str">
        <x:v>alta</x:v>
      </x:c>
      <x:c r="U56" s="60" t="n">
        <x:v>200</x:v>
      </x:c>
      <x:c r="V56" s="58" t="str">
        <x:v>Permite</x:v>
      </x:c>
      <x:c r="W56" s="64" t="str">
        <x:v>https://ceina.cl/cartelera/</x:v>
      </x:c>
      <x:c r="X56" s="94" t="n">
        <x:v>46286</x:v>
      </x:c>
      <x:c r="Y56" s="58" t="str">
        <x:v>Operativa: cartelera oficial accesible; se descartan publicaciones que solo informan el año y carecen de fecha de evento.</x:v>
      </x:c>
    </x:row>
    <x:row r="57" ht="42" customHeight="1">
      <x:c r="A57" s="9" t="str">
        <x:v>CL-FUE-0056</x:v>
      </x:c>
      <x:c r="B57" s="7" t="str">
        <x:v>Fundación CorpArtes</x:v>
      </x:c>
      <x:c r="C57" s="7" t="str">
        <x:v>Fundación CorpArtes</x:v>
      </x:c>
      <x:c r="D57" s="7" t="str">
        <x:v>Centro cultural</x:v>
      </x:c>
      <x:c r="E57" s="7" t="str">
        <x:v>Regional/nacional</x:v>
      </x:c>
      <x:c r="F57" s="7" t="str">
        <x:v>Región Metropolitana de Santiago</x:v>
      </x:c>
      <x:c r="G57" s="7" t="str">
        <x:v>Las Condes</x:v>
      </x:c>
      <x:c r="H57" s="7" t="str">
        <x:v>Música; Teatro; Cine; Artes visuales</x:v>
      </x:c>
      <x:c r="I57" s="7" t="str">
        <x:v>Cartelera</x:v>
      </x:c>
      <x:c r="J57" s="10" t="str">
        <x:v>https://corpartes.cl/</x:v>
      </x:c>
      <x:c r="K57" s="10" t="str">
        <x:v>https://corpartes.cl/</x:v>
      </x:c>
      <x:c r="L57" s="7" t="str">
        <x:v>Integrada operativa</x:v>
      </x:c>
      <x:c r="M57" s="7" t="str">
        <x:v>Sí</x:v>
      </x:c>
      <x:c r="N57" s="7" t="str">
        <x:v>Alta</x:v>
      </x:c>
      <x:c r="O57" s="7" t="str">
        <x:v>HTML</x:v>
      </x:c>
      <x:c r="P57" s="8" t="n">
        <x:v>46270.666666666664</x:v>
      </x:c>
      <x:c r="Q57" s="7" t="str">
        <x:v>Configurada el 14-09-2026: tarjetas HTML de cartelera pública.</x:v>
      </x:c>
      <x:c r="R57" s="58" t="str">
        <x:v>Aprobada técnicamente</x:v>
      </x:c>
      <x:c r="S57" s="60" t="n">
        <x:v>100</x:v>
      </x:c>
      <x:c r="T57" s="58" t="str">
        <x:v>alta</x:v>
      </x:c>
      <x:c r="U57" s="60" t="n">
        <x:v>200</x:v>
      </x:c>
      <x:c r="V57" s="58" t="str">
        <x:v>Permite</x:v>
      </x:c>
      <x:c r="W57" s="64" t="str">
        <x:v>https://corpartes.cl/</x:v>
      </x:c>
      <x:c r="X57" s="94" t="n">
        <x:v>46279.625</x:v>
      </x:c>
      <x:c r="Y57" s="58" t="str">
        <x:v>Extracción declarativa de título, fecha, categoría y enlace de ticket oficial.</x:v>
      </x:c>
    </x:row>
    <x:row r="58" ht="42" customHeight="1">
      <x:c r="A58" s="9" t="str">
        <x:v>CL-FUE-0057</x:v>
      </x:c>
      <x:c r="B58" s="7" t="str">
        <x:v>Centro Cultural Las Condes</x:v>
      </x:c>
      <x:c r="C58" s="7" t="str">
        <x:v>Corporación Cultural de Las Condes</x:v>
      </x:c>
      <x:c r="D58" s="7" t="str">
        <x:v>Red comunal</x:v>
      </x:c>
      <x:c r="E58" s="7" t="str">
        <x:v>Comunal</x:v>
      </x:c>
      <x:c r="F58" s="7" t="str">
        <x:v>Región Metropolitana de Santiago</x:v>
      </x:c>
      <x:c r="G58" s="7" t="str">
        <x:v>Las Condes</x:v>
      </x:c>
      <x:c r="H58" s="7" t="str">
        <x:v>Teatro; Música; Cine; Artes visuales; Talleres</x:v>
      </x:c>
      <x:c r="I58" s="7" t="str">
        <x:v>Agenda</x:v>
      </x:c>
      <x:c r="J58" s="10" t="str">
        <x:v>https://www.culturallascondes.cl/</x:v>
      </x:c>
      <x:c r="K58" s="10" t="str">
        <x:v>https://www.culturallascondes.cl/</x:v>
      </x:c>
      <x:c r="L58" s="7" t="str">
        <x:v>Candidata verificada</x:v>
      </x:c>
      <x:c r="M58" s="7" t="str">
        <x:v>Sí</x:v>
      </x:c>
      <x:c r="N58" s="7" t="str">
        <x:v>Alta</x:v>
      </x:c>
      <x:c r="O58" s="7" t="str">
        <x:v>HTML</x:v>
      </x:c>
      <x:c r="P58" s="8" t="n">
        <x:v>46270.666666666664</x:v>
      </x:c>
      <x:c r="Q58" s="7" t="str">
        <x:v>Fuente digital recurrente; validar términos, paginación y estabilidad antes de integrarla.</x:v>
      </x:c>
      <x:c r="R58" s="58" t="str">
        <x:v>Revisión manual</x:v>
      </x:c>
      <x:c r="S58" s="60" t="n">
        <x:v>40</x:v>
      </x:c>
      <x:c r="T58" s="58" t="str">
        <x:v>media</x:v>
      </x:c>
      <x:c r="U58" s="60"/>
      <x:c r="V58" s="58" t="str">
        <x:v>Sin dato</x:v>
      </x:c>
      <x:c r="W58" s="64" t="str"/>
      <x:c r="X58" s="94" t="n">
        <x:v>46271.0585241088</x:v>
      </x:c>
      <x:c r="Y58" s="58" t="str">
        <x:v>error_tls: HTTPSConnectionPool(host='www.culturallascondes.cl', port=443): Max retries exceeded with url: / (Caused by SSLError(SSLCertVerificationError(1, '[SSL: CERTIFICATE_VERIFY_FAILED] certificate verify failed: unable to get local issuer certifi | sin Content-Type | sin términos de agenda</x:v>
      </x:c>
    </x:row>
    <x:row r="59" ht="42" customHeight="1">
      <x:c r="A59" s="9" t="str">
        <x:v>CL-FUE-0058</x:v>
      </x:c>
      <x:c r="B59" s="7" t="str">
        <x:v>Cultura Providencia</x:v>
      </x:c>
      <x:c r="C59" s="7" t="str">
        <x:v>Fundación Cultural de Providencia</x:v>
      </x:c>
      <x:c r="D59" s="7" t="str">
        <x:v>Agenda municipal</x:v>
      </x:c>
      <x:c r="E59" s="7" t="str">
        <x:v>Comunal</x:v>
      </x:c>
      <x:c r="F59" s="7" t="str">
        <x:v>Región Metropolitana de Santiago</x:v>
      </x:c>
      <x:c r="G59" s="7" t="str">
        <x:v>Providencia</x:v>
      </x:c>
      <x:c r="H59" s="7" t="str">
        <x:v>Teatro; Música; Cine; Artes; Patrimonio</x:v>
      </x:c>
      <x:c r="I59" s="7" t="str">
        <x:v>Cartelera</x:v>
      </x:c>
      <x:c r="J59" s="10" t="str">
        <x:v>https://culturaprovidencia.cl/</x:v>
      </x:c>
      <x:c r="K59" s="10" t="str">
        <x:v>https://culturaprovidencia.cl/</x:v>
      </x:c>
      <x:c r="L59" s="7" t="str">
        <x:v>Candidata verificada</x:v>
      </x:c>
      <x:c r="M59" s="7" t="str">
        <x:v>Sí</x:v>
      </x:c>
      <x:c r="N59" s="7" t="str">
        <x:v>Alta</x:v>
      </x:c>
      <x:c r="O59" s="7" t="str">
        <x:v>HTML</x:v>
      </x:c>
      <x:c r="P59" s="8" t="n">
        <x:v>46270.666666666664</x:v>
      </x:c>
      <x:c r="Q59" s="7" t="str">
        <x:v>Fuente digital recurrente; validar términos, paginación y estabilidad antes de integrarla.</x:v>
      </x:c>
      <x:c r="R59" s="58" t="str">
        <x:v>Aprobada técnicamente</x:v>
      </x:c>
      <x:c r="S59" s="60" t="n">
        <x:v>91</x:v>
      </x:c>
      <x:c r="T59" s="58" t="str">
        <x:v>alta</x:v>
      </x:c>
      <x:c r="U59" s="60" t="n">
        <x:v>200</x:v>
      </x:c>
      <x:c r="V59" s="58" t="str">
        <x:v>Permite</x:v>
      </x:c>
      <x:c r="W59" s="64" t="str">
        <x:v>https://culturaprovidencia.cl/</x:v>
      </x:c>
      <x:c r="X59" s="94" t="n">
        <x:v>46271.05855693287</x:v>
      </x:c>
      <x:c r="Y59" s="58" t="str">
        <x:v>0 objetos Event JSON-LD | /</x:v>
      </x:c>
    </x:row>
    <x:row r="60" ht="42" customHeight="1">
      <x:c r="A60" s="9" t="str">
        <x:v>CL-FUE-0059</x:v>
      </x:c>
      <x:c r="B60" s="7" t="str">
        <x:v>Cultura Ñuñoa</x:v>
      </x:c>
      <x:c r="C60" s="7" t="str">
        <x:v>Corporación Cultural de Ñuñoa</x:v>
      </x:c>
      <x:c r="D60" s="7" t="str">
        <x:v>Agenda municipal</x:v>
      </x:c>
      <x:c r="E60" s="7" t="str">
        <x:v>Comunal</x:v>
      </x:c>
      <x:c r="F60" s="7" t="str">
        <x:v>Región Metropolitana de Santiago</x:v>
      </x:c>
      <x:c r="G60" s="7" t="str">
        <x:v>Ñuñoa</x:v>
      </x:c>
      <x:c r="H60" s="7" t="str">
        <x:v>Multidisciplinario</x:v>
      </x:c>
      <x:c r="I60" s="7" t="str">
        <x:v>Cartelera</x:v>
      </x:c>
      <x:c r="J60" s="10" t="str">
        <x:v>https://www.ccn.cl/</x:v>
      </x:c>
      <x:c r="K60" s="10" t="str">
        <x:v>https://www.ccn.cl/</x:v>
      </x:c>
      <x:c r="L60" s="7" t="str">
        <x:v>Candidata verificada</x:v>
      </x:c>
      <x:c r="M60" s="7" t="str">
        <x:v>Sí</x:v>
      </x:c>
      <x:c r="N60" s="7" t="str">
        <x:v>Alta</x:v>
      </x:c>
      <x:c r="O60" s="7" t="str">
        <x:v>HTML</x:v>
      </x:c>
      <x:c r="P60" s="8" t="n">
        <x:v>46270.666666666664</x:v>
      </x:c>
      <x:c r="Q60" s="7" t="str">
        <x:v>Fuente digital recurrente; validar términos, paginación y estabilidad antes de integrarla.</x:v>
      </x:c>
      <x:c r="R60" s="58" t="str">
        <x:v>Revisión manual</x:v>
      </x:c>
      <x:c r="S60" s="60" t="n">
        <x:v>53</x:v>
      </x:c>
      <x:c r="T60" s="58" t="str">
        <x:v>media</x:v>
      </x:c>
      <x:c r="U60" s="60" t="n">
        <x:v>200</x:v>
      </x:c>
      <x:c r="V60" s="58" t="str">
        <x:v>Permite</x:v>
      </x:c>
      <x:c r="W60" s="64" t="str">
        <x:v>https://www.ccn.cl/</x:v>
      </x:c>
      <x:c r="X60" s="94" t="n">
        <x:v>46271.058547685185</x:v>
      </x:c>
      <x:c r="Y60" s="58" t="str">
        <x:v>sin términos de agenda | 0 objetos Event JSON-LD | 0 señales</x:v>
      </x:c>
    </x:row>
    <x:row r="61" ht="42" customHeight="1">
      <x:c r="A61" s="9" t="str">
        <x:v>CL-FUE-0060</x:v>
      </x:c>
      <x:c r="B61" s="7" t="str">
        <x:v>Cultura Vitacura</x:v>
      </x:c>
      <x:c r="C61" s="7" t="str">
        <x:v>Municipalidad de Vitacura</x:v>
      </x:c>
      <x:c r="D61" s="7" t="str">
        <x:v>Agenda municipal</x:v>
      </x:c>
      <x:c r="E61" s="7" t="str">
        <x:v>Comunal</x:v>
      </x:c>
      <x:c r="F61" s="7" t="str">
        <x:v>Región Metropolitana de Santiago</x:v>
      </x:c>
      <x:c r="G61" s="7" t="str">
        <x:v>Vitacura</x:v>
      </x:c>
      <x:c r="H61" s="7" t="str">
        <x:v>Teatro; Música; Artes; Talleres</x:v>
      </x:c>
      <x:c r="I61" s="7" t="str">
        <x:v>Agenda</x:v>
      </x:c>
      <x:c r="J61" s="10" t="str">
        <x:v>https://vitacuracultura.cl/</x:v>
      </x:c>
      <x:c r="K61" s="10" t="str">
        <x:v>https://vitacuracultura.cl/</x:v>
      </x:c>
      <x:c r="L61" s="7" t="str">
        <x:v>Integrada operativa</x:v>
      </x:c>
      <x:c r="M61" s="7" t="str">
        <x:v>Sí</x:v>
      </x:c>
      <x:c r="N61" s="7" t="str">
        <x:v>Alta</x:v>
      </x:c>
      <x:c r="O61" s="7" t="str">
        <x:v>HTML</x:v>
      </x:c>
      <x:c r="P61" s="8" t="n">
        <x:v>46270.666666666664</x:v>
      </x:c>
      <x:c r="Q61" s="7" t="str">
        <x:v>Configurada el 14-09-2026: tarjetas HTML de actividades públicas.</x:v>
      </x:c>
      <x:c r="R61" s="58" t="str">
        <x:v>Aprobada técnicamente</x:v>
      </x:c>
      <x:c r="S61" s="60" t="n">
        <x:v>100</x:v>
      </x:c>
      <x:c r="T61" s="58" t="str">
        <x:v>alta</x:v>
      </x:c>
      <x:c r="U61" s="60" t="n">
        <x:v>200</x:v>
      </x:c>
      <x:c r="V61" s="58" t="str">
        <x:v>Permite</x:v>
      </x:c>
      <x:c r="W61" s="64" t="str">
        <x:v>https://vitacuracultura.cl/</x:v>
      </x:c>
      <x:c r="X61" s="94" t="n">
        <x:v>46279.625</x:v>
      </x:c>
      <x:c r="Y61" s="58" t="str">
        <x:v>Extracción declarativa de actividades; conserva el enlace oficial y la programación recurrente.</x:v>
      </x:c>
    </x:row>
    <x:row r="62" ht="42" customHeight="1">
      <x:c r="A62" s="9" t="str">
        <x:v>CL-FUE-0061</x:v>
      </x:c>
      <x:c r="B62" s="7" t="str">
        <x:v>Cultura Lo Barnechea</x:v>
      </x:c>
      <x:c r="C62" s="7" t="str">
        <x:v>Corporación Cultural de Lo Barnechea</x:v>
      </x:c>
      <x:c r="D62" s="7" t="str">
        <x:v>Agenda municipal</x:v>
      </x:c>
      <x:c r="E62" s="7" t="str">
        <x:v>Comunal</x:v>
      </x:c>
      <x:c r="F62" s="7" t="str">
        <x:v>Región Metropolitana de Santiago</x:v>
      </x:c>
      <x:c r="G62" s="7" t="str">
        <x:v>Lo Barnechea</x:v>
      </x:c>
      <x:c r="H62" s="7" t="str">
        <x:v>Multidisciplinario</x:v>
      </x:c>
      <x:c r="I62" s="7" t="str">
        <x:v>Agenda</x:v>
      </x:c>
      <x:c r="J62" s="10" t="str">
        <x:v>https://www.culturalobarnechea.cl/</x:v>
      </x:c>
      <x:c r="K62" s="10" t="str">
        <x:v>https://www.culturalobarnechea.cl/</x:v>
      </x:c>
      <x:c r="L62" s="7" t="str">
        <x:v>Candidata verificada</x:v>
      </x:c>
      <x:c r="M62" s="7" t="str">
        <x:v>Sí</x:v>
      </x:c>
      <x:c r="N62" s="7" t="str">
        <x:v>Alta</x:v>
      </x:c>
      <x:c r="O62" s="7" t="str">
        <x:v>HTML</x:v>
      </x:c>
      <x:c r="P62" s="8" t="n">
        <x:v>46270.666666666664</x:v>
      </x:c>
      <x:c r="Q62" s="7" t="str">
        <x:v>Fuente digital recurrente; validar términos, paginación y estabilidad antes de integrarla.</x:v>
      </x:c>
      <x:c r="R62" s="58" t="str">
        <x:v>Revisión manual</x:v>
      </x:c>
      <x:c r="S62" s="60" t="n">
        <x:v>28</x:v>
      </x:c>
      <x:c r="T62" s="58" t="str">
        <x:v>media</x:v>
      </x:c>
      <x:c r="U62" s="60"/>
      <x:c r="V62" s="58" t="str">
        <x:v>Sin dato</x:v>
      </x:c>
      <x:c r="W62" s="64" t="str"/>
      <x:c r="X62" s="62" t="n">
        <x:v>46271.058548113426</x:v>
      </x:c>
      <x:c r="Y62" s="58" t="str">
        <x:v>error_red: HTTPSConnectionPool(host='www.culturalobarnechea.cl', port=443): Max retries exceeded with url: / (Caused by NameResolutionError("HTTPSConnection(host='www.culturalobarnechea.cl', port=443): Failed to resolve 'www.culturalobarnechea.cl' ([E | sin Content-Type | sin términos de agenda</x:v>
      </x:c>
    </x:row>
    <x:row r="63" ht="42" customHeight="1">
      <x:c r="A63" s="9" t="str">
        <x:v>CL-FUE-0062</x:v>
      </x:c>
      <x:c r="B63" s="7" t="str">
        <x:v>Cultura La Reina</x:v>
      </x:c>
      <x:c r="C63" s="7" t="str">
        <x:v>Corporación Cultural de La Reina</x:v>
      </x:c>
      <x:c r="D63" s="7" t="str">
        <x:v>Agenda municipal</x:v>
      </x:c>
      <x:c r="E63" s="7" t="str">
        <x:v>Comunal</x:v>
      </x:c>
      <x:c r="F63" s="7" t="str">
        <x:v>Región Metropolitana de Santiago</x:v>
      </x:c>
      <x:c r="G63" s="7" t="str">
        <x:v>La Reina</x:v>
      </x:c>
      <x:c r="H63" s="7" t="str">
        <x:v>Multidisciplinario</x:v>
      </x:c>
      <x:c r="I63" s="7" t="str">
        <x:v>Cartelera</x:v>
      </x:c>
      <x:c r="J63" s="10" t="str">
        <x:v>https://www.culturalareina.cl/</x:v>
      </x:c>
      <x:c r="K63" s="10" t="str">
        <x:v>https://www.culturalareina.cl/</x:v>
      </x:c>
      <x:c r="L63" s="7" t="str">
        <x:v>Candidata verificada</x:v>
      </x:c>
      <x:c r="M63" s="7" t="str">
        <x:v>Sí</x:v>
      </x:c>
      <x:c r="N63" s="7" t="str">
        <x:v>Media</x:v>
      </x:c>
      <x:c r="O63" s="7" t="str">
        <x:v>HTML</x:v>
      </x:c>
      <x:c r="P63" s="8" t="n">
        <x:v>46270.666666666664</x:v>
      </x:c>
      <x:c r="Q63" s="7" t="str">
        <x:v>Fuente digital recurrente; validar términos, paginación y estabilidad antes de integrarla.</x:v>
      </x:c>
      <x:c r="R63" s="58" t="str">
        <x:v>Aprobada técnicamente</x:v>
      </x:c>
      <x:c r="S63" s="60" t="n">
        <x:v>100</x:v>
      </x:c>
      <x:c r="T63" s="58" t="str">
        <x:v>alta</x:v>
      </x:c>
      <x:c r="U63" s="60" t="n">
        <x:v>200</x:v>
      </x:c>
      <x:c r="V63" s="58" t="str">
        <x:v>Permite</x:v>
      </x:c>
      <x:c r="W63" s="64" t="str">
        <x:v>https://culturalareina.cl/</x:v>
      </x:c>
      <x:c r="X63" s="62" t="n">
        <x:v>46271.05862480324</x:v>
      </x:c>
      <x:c r="Y63" s="58" t="str">
        <x:v>0 objetos Event JSON-LD | /</x:v>
      </x:c>
    </x:row>
    <x:row r="64" ht="42" customHeight="1">
      <x:c r="A64" s="9" t="str">
        <x:v>CL-FUE-0063</x:v>
      </x:c>
      <x:c r="B64" s="7" t="str">
        <x:v>Centro Cultural Chimkowe</x:v>
      </x:c>
      <x:c r="C64" s="7" t="str">
        <x:v>Municipalidad de Peñalolén</x:v>
      </x:c>
      <x:c r="D64" s="7" t="str">
        <x:v>Centro cultural</x:v>
      </x:c>
      <x:c r="E64" s="7" t="str">
        <x:v>Comunal</x:v>
      </x:c>
      <x:c r="F64" s="7" t="str">
        <x:v>Región Metropolitana de Santiago</x:v>
      </x:c>
      <x:c r="G64" s="7" t="str">
        <x:v>Peñalolén</x:v>
      </x:c>
      <x:c r="H64" s="7" t="str">
        <x:v>Música; Teatro; Ferias; Cultura comunitaria</x:v>
      </x:c>
      <x:c r="I64" s="7" t="str">
        <x:v>Agenda municipal</x:v>
      </x:c>
      <x:c r="J64" s="10" t="str">
        <x:v>https://www.chimkowe.cl/</x:v>
      </x:c>
      <x:c r="K64" s="10" t="str">
        <x:v>https://www.chimkowe.cl/</x:v>
      </x:c>
      <x:c r="L64" s="7" t="str">
        <x:v>Candidata verificada</x:v>
      </x:c>
      <x:c r="M64" s="7" t="str">
        <x:v>Sí</x:v>
      </x:c>
      <x:c r="N64" s="7" t="str">
        <x:v>Media</x:v>
      </x:c>
      <x:c r="O64" s="7" t="str">
        <x:v>HTML</x:v>
      </x:c>
      <x:c r="P64" s="8" t="n">
        <x:v>46270.666666666664</x:v>
      </x:c>
      <x:c r="Q64" s="7" t="str">
        <x:v>Fuente digital recurrente; validar términos, paginación y estabilidad antes de integrarla.</x:v>
      </x:c>
      <x:c r="R64" s="58" t="str">
        <x:v>Aprobada técnicamente</x:v>
      </x:c>
      <x:c r="S64" s="60" t="n">
        <x:v>80</x:v>
      </x:c>
      <x:c r="T64" s="58" t="str">
        <x:v>alta</x:v>
      </x:c>
      <x:c r="U64" s="60" t="n">
        <x:v>200</x:v>
      </x:c>
      <x:c r="V64" s="58" t="str">
        <x:v>Permite</x:v>
      </x:c>
      <x:c r="W64" s="64" t="str">
        <x:v>https://chimkowe.cl/</x:v>
      </x:c>
      <x:c r="X64" s="62" t="n">
        <x:v>46271.05861934028</x:v>
      </x:c>
      <x:c r="Y64" s="58" t="str">
        <x:v>programacion | 0 objetos Event JSON-LD | /</x:v>
      </x:c>
    </x:row>
    <x:row r="65" ht="42" customHeight="1">
      <x:c r="A65" s="9" t="str">
        <x:v>CL-FUE-0064</x:v>
      </x:c>
      <x:c r="B65" s="7" t="str">
        <x:v>Centro Cultural San Joaquín</x:v>
      </x:c>
      <x:c r="C65" s="7" t="str">
        <x:v>Corporación Municipal de Cultura de San Joaquín</x:v>
      </x:c>
      <x:c r="D65" s="7" t="str">
        <x:v>Centro cultural</x:v>
      </x:c>
      <x:c r="E65" s="7" t="str">
        <x:v>Comunal</x:v>
      </x:c>
      <x:c r="F65" s="7" t="str">
        <x:v>Región Metropolitana de Santiago</x:v>
      </x:c>
      <x:c r="G65" s="7" t="str">
        <x:v>San Joaquín</x:v>
      </x:c>
      <x:c r="H65" s="7" t="str">
        <x:v>Teatro; Danza; Música; Cine; Talleres</x:v>
      </x:c>
      <x:c r="I65" s="7" t="str">
        <x:v>Cartelera</x:v>
      </x:c>
      <x:c r="J65" s="10" t="str">
        <x:v>https://culturasanjoaquin.cl/</x:v>
      </x:c>
      <x:c r="K65" s="10" t="str">
        <x:v>https://culturasanjoaquin.cl/</x:v>
      </x:c>
      <x:c r="L65" s="7" t="str">
        <x:v>Candidata verificada</x:v>
      </x:c>
      <x:c r="M65" s="7" t="str">
        <x:v>Sí</x:v>
      </x:c>
      <x:c r="N65" s="7" t="str">
        <x:v>Alta</x:v>
      </x:c>
      <x:c r="O65" s="7" t="str">
        <x:v>HTML</x:v>
      </x:c>
      <x:c r="P65" s="8" t="n">
        <x:v>46270.666666666664</x:v>
      </x:c>
      <x:c r="Q65" s="7" t="str">
        <x:v>Fuente digital recurrente; validar términos, paginación y estabilidad antes de integrarla.</x:v>
      </x:c>
      <x:c r="R65" s="58" t="str">
        <x:v>Aprobada técnicamente</x:v>
      </x:c>
      <x:c r="S65" s="60" t="n">
        <x:v>72</x:v>
      </x:c>
      <x:c r="T65" s="58" t="str">
        <x:v>media</x:v>
      </x:c>
      <x:c r="U65" s="60" t="n">
        <x:v>200</x:v>
      </x:c>
      <x:c r="V65" s="58" t="str">
        <x:v>Permite</x:v>
      </x:c>
      <x:c r="W65" s="64" t="str">
        <x:v>https://culturasanjoaquin.cl/</x:v>
      </x:c>
      <x:c r="X65" s="62" t="n">
        <x:v>46271.05859064815</x:v>
      </x:c>
      <x:c r="Y65" s="58" t="str">
        <x:v>cartelera | 0 objetos Event JSON-LD | /</x:v>
      </x:c>
    </x:row>
    <x:row r="66" ht="42" customHeight="1">
      <x:c r="A66" s="9" t="str">
        <x:v>CL-FUE-0065</x:v>
      </x:c>
      <x:c r="B66" s="7" t="str">
        <x:v>Balmaceda Arte Joven</x:v>
      </x:c>
      <x:c r="C66" s="7" t="str">
        <x:v>Corporación Cultural Balmaceda Arte Joven</x:v>
      </x:c>
      <x:c r="D66" s="7" t="str">
        <x:v>Red de centros</x:v>
      </x:c>
      <x:c r="E66" s="7" t="str">
        <x:v>Nacional</x:v>
      </x:c>
      <x:c r="F66" s="7" t="str">
        <x:v>Varias</x:v>
      </x:c>
      <x:c r="G66" s="7" t="str"/>
      <x:c r="H66" s="7" t="str">
        <x:v>Artes; Formación; Juventudes</x:v>
      </x:c>
      <x:c r="I66" s="7" t="str">
        <x:v>Agenda por sede</x:v>
      </x:c>
      <x:c r="J66" s="10" t="str">
        <x:v>https://www.balmacedartejoven.cl/</x:v>
      </x:c>
      <x:c r="K66" s="10" t="str">
        <x:v>https://www.balmacedartejoven.cl/</x:v>
      </x:c>
      <x:c r="L66" s="7" t="str">
        <x:v>Candidata verificada</x:v>
      </x:c>
      <x:c r="M66" s="7" t="str">
        <x:v>Sí</x:v>
      </x:c>
      <x:c r="N66" s="7" t="str">
        <x:v>Media</x:v>
      </x:c>
      <x:c r="O66" s="7" t="str">
        <x:v>HTML</x:v>
      </x:c>
      <x:c r="P66" s="8" t="n">
        <x:v>46270.666666666664</x:v>
      </x:c>
      <x:c r="Q66" s="7" t="str">
        <x:v>Fuente digital recurrente; validar términos, paginación y estabilidad antes de integrarla.</x:v>
      </x:c>
      <x:c r="R66" s="58" t="str">
        <x:v>Aprobada técnicamente</x:v>
      </x:c>
      <x:c r="S66" s="60" t="n">
        <x:v>83</x:v>
      </x:c>
      <x:c r="T66" s="58" t="str">
        <x:v>alta</x:v>
      </x:c>
      <x:c r="U66" s="60" t="n">
        <x:v>200</x:v>
      </x:c>
      <x:c r="V66" s="58" t="str">
        <x:v>Permite</x:v>
      </x:c>
      <x:c r="W66" s="64" t="str">
        <x:v>https://www.balmacedartejoven.cl/</x:v>
      </x:c>
      <x:c r="X66" s="62" t="n">
        <x:v>46271.058617650466</x:v>
      </x:c>
      <x:c r="Y66" s="58" t="str">
        <x:v>0 objetos Event JSON-LD | /</x:v>
      </x:c>
    </x:row>
    <x:row r="67" ht="42" customHeight="1">
      <x:c r="A67" s="9" t="str">
        <x:v>CL-FUE-0066</x:v>
      </x:c>
      <x:c r="B67" s="7" t="str">
        <x:v>Museo Nacional de Bellas Artes</x:v>
      </x:c>
      <x:c r="C67" s="7" t="str">
        <x:v>Servicio Nacional del Patrimonio Cultural</x:v>
      </x:c>
      <x:c r="D67" s="7" t="str">
        <x:v>Museo</x:v>
      </x:c>
      <x:c r="E67" s="7" t="str">
        <x:v>Nacional</x:v>
      </x:c>
      <x:c r="F67" s="7" t="str">
        <x:v>Región Metropolitana de Santiago</x:v>
      </x:c>
      <x:c r="G67" s="7" t="str">
        <x:v>Santiago</x:v>
      </x:c>
      <x:c r="H67" s="7" t="str">
        <x:v>Artes visuales; Patrimonio</x:v>
      </x:c>
      <x:c r="I67" s="7" t="str">
        <x:v>Exposiciones/actividades</x:v>
      </x:c>
      <x:c r="J67" s="10" t="str">
        <x:v>https://www.mnba.gob.cl/</x:v>
      </x:c>
      <x:c r="K67" s="10" t="str">
        <x:v>https://www.mnba.gob.cl/</x:v>
      </x:c>
      <x:c r="L67" s="7" t="str">
        <x:v>Candidata verificada</x:v>
      </x:c>
      <x:c r="M67" s="7" t="str">
        <x:v>Sí</x:v>
      </x:c>
      <x:c r="N67" s="7" t="str">
        <x:v>Alta</x:v>
      </x:c>
      <x:c r="O67" s="7" t="str">
        <x:v>HTML</x:v>
      </x:c>
      <x:c r="P67" s="8" t="n">
        <x:v>46270.666666666664</x:v>
      </x:c>
      <x:c r="Q67" s="7" t="str">
        <x:v>Fuente digital recurrente; validar términos, paginación y estabilidad antes de integrarla.</x:v>
      </x:c>
      <x:c r="R67" s="58" t="str">
        <x:v>Aprobada técnicamente</x:v>
      </x:c>
      <x:c r="S67" s="60" t="n">
        <x:v>95</x:v>
      </x:c>
      <x:c r="T67" s="58" t="str">
        <x:v>alta</x:v>
      </x:c>
      <x:c r="U67" s="60" t="n">
        <x:v>200</x:v>
      </x:c>
      <x:c r="V67" s="58" t="str">
        <x:v>Permite</x:v>
      </x:c>
      <x:c r="W67" s="64" t="str">
        <x:v>https://www.mnba.gob.cl/</x:v>
      </x:c>
      <x:c r="X67" s="62" t="n">
        <x:v>46271.058574710645</x:v>
      </x:c>
      <x:c r="Y67" s="58" t="str">
        <x:v>0 objetos Event JSON-LD | /</x:v>
      </x:c>
    </x:row>
    <x:row r="68" ht="42" customHeight="1">
      <x:c r="A68" s="9" t="str">
        <x:v>CL-FUE-0067</x:v>
      </x:c>
      <x:c r="B68" s="7" t="str">
        <x:v>Museo de Arte Contemporáneo</x:v>
      </x:c>
      <x:c r="C68" s="7" t="str">
        <x:v>Universidad de Chile</x:v>
      </x:c>
      <x:c r="D68" s="7" t="str">
        <x:v>Museo</x:v>
      </x:c>
      <x:c r="E68" s="7" t="str">
        <x:v>Nacional</x:v>
      </x:c>
      <x:c r="F68" s="7" t="str">
        <x:v>Región Metropolitana de Santiago</x:v>
      </x:c>
      <x:c r="G68" s="7" t="str">
        <x:v>Santiago</x:v>
      </x:c>
      <x:c r="H68" s="7" t="str">
        <x:v>Arte contemporáneo; Exposiciones</x:v>
      </x:c>
      <x:c r="I68" s="7" t="str">
        <x:v>Programación</x:v>
      </x:c>
      <x:c r="J68" s="10" t="str">
        <x:v>https://mac.uchile.cl/</x:v>
      </x:c>
      <x:c r="K68" s="10" t="str">
        <x:v>https://mac.uchile.cl/</x:v>
      </x:c>
      <x:c r="L68" s="7" t="str">
        <x:v>Candidata verificada</x:v>
      </x:c>
      <x:c r="M68" s="7" t="str">
        <x:v>Sí</x:v>
      </x:c>
      <x:c r="N68" s="7" t="str">
        <x:v>Alta</x:v>
      </x:c>
      <x:c r="O68" s="7" t="str">
        <x:v>HTML</x:v>
      </x:c>
      <x:c r="P68" s="8" t="n">
        <x:v>46270.666666666664</x:v>
      </x:c>
      <x:c r="Q68" s="7" t="str">
        <x:v>Fuente digital recurrente; validar términos, paginación y estabilidad antes de integrarla.</x:v>
      </x:c>
      <x:c r="R68" s="58" t="str">
        <x:v>Aprobada técnicamente</x:v>
      </x:c>
      <x:c r="S68" s="60" t="n">
        <x:v>94</x:v>
      </x:c>
      <x:c r="T68" s="58" t="str">
        <x:v>alta</x:v>
      </x:c>
      <x:c r="U68" s="60" t="n">
        <x:v>200</x:v>
      </x:c>
      <x:c r="V68" s="58" t="str">
        <x:v>Permite</x:v>
      </x:c>
      <x:c r="W68" s="64" t="str">
        <x:v>https://mac.uchile.cl/</x:v>
      </x:c>
      <x:c r="X68" s="62" t="n">
        <x:v>46271.05859887732</x:v>
      </x:c>
      <x:c r="Y68" s="58" t="str">
        <x:v>0 objetos Event JSON-LD | /</x:v>
      </x:c>
    </x:row>
    <x:row r="69" ht="42" customHeight="1">
      <x:c r="A69" s="9" t="str">
        <x:v>CL-FUE-0068</x:v>
      </x:c>
      <x:c r="B69" s="7" t="str">
        <x:v>Museo de la Memoria y los Derechos Humanos</x:v>
      </x:c>
      <x:c r="C69" s="7" t="str">
        <x:v>Fundación Museo de la Memoria</x:v>
      </x:c>
      <x:c r="D69" s="7" t="str">
        <x:v>Museo</x:v>
      </x:c>
      <x:c r="E69" s="7" t="str">
        <x:v>Nacional</x:v>
      </x:c>
      <x:c r="F69" s="7" t="str">
        <x:v>Región Metropolitana de Santiago</x:v>
      </x:c>
      <x:c r="G69" s="7" t="str">
        <x:v>Santiago</x:v>
      </x:c>
      <x:c r="H69" s="7" t="str">
        <x:v>Memoria; Derechos humanos; Cine; Artes</x:v>
      </x:c>
      <x:c r="I69" s="7" t="str">
        <x:v>Agenda</x:v>
      </x:c>
      <x:c r="J69" s="10" t="str">
        <x:v>https://mmdh.cl/</x:v>
      </x:c>
      <x:c r="K69" s="10" t="str">
        <x:v>https://mmdh.cl/</x:v>
      </x:c>
      <x:c r="L69" s="7" t="str">
        <x:v>Candidata verificada</x:v>
      </x:c>
      <x:c r="M69" s="7" t="str">
        <x:v>Sí</x:v>
      </x:c>
      <x:c r="N69" s="7" t="str">
        <x:v>Alta</x:v>
      </x:c>
      <x:c r="O69" s="7" t="str">
        <x:v>HTML</x:v>
      </x:c>
      <x:c r="P69" s="8" t="n">
        <x:v>46270.666666666664</x:v>
      </x:c>
      <x:c r="Q69" s="7" t="str">
        <x:v>Fuente digital recurrente; validar términos, paginación y estabilidad antes de integrarla.</x:v>
      </x:c>
      <x:c r="R69" s="58" t="str">
        <x:v>Revisión manual</x:v>
      </x:c>
      <x:c r="S69" s="60" t="n">
        <x:v>75</x:v>
      </x:c>
      <x:c r="T69" s="58" t="str">
        <x:v>media</x:v>
      </x:c>
      <x:c r="U69" s="60" t="n">
        <x:v>200</x:v>
      </x:c>
      <x:c r="V69" s="58" t="str">
        <x:v>Permite</x:v>
      </x:c>
      <x:c r="W69" s="64" t="str">
        <x:v>https://mmdh.cl/</x:v>
      </x:c>
      <x:c r="X69" s="62" t="n">
        <x:v>46271.05861344907</x:v>
      </x:c>
      <x:c r="Y69" s="58" t="str">
        <x:v>0 objetos Event JSON-LD | 0 señales | 1 enlaces</x:v>
      </x:c>
    </x:row>
    <x:row r="70" ht="42" customHeight="1">
      <x:c r="A70" s="9" t="str">
        <x:v>CL-FUE-0069</x:v>
      </x:c>
      <x:c r="B70" s="7" t="str">
        <x:v>Museo Interactivo Mirador</x:v>
      </x:c>
      <x:c r="C70" s="7" t="str">
        <x:v>Fundación Tiempos Nuevos</x:v>
      </x:c>
      <x:c r="D70" s="7" t="str">
        <x:v>Museo</x:v>
      </x:c>
      <x:c r="E70" s="7" t="str">
        <x:v>Nacional</x:v>
      </x:c>
      <x:c r="F70" s="7" t="str">
        <x:v>Región Metropolitana de Santiago</x:v>
      </x:c>
      <x:c r="G70" s="7" t="str">
        <x:v>La Granja</x:v>
      </x:c>
      <x:c r="H70" s="7" t="str">
        <x:v>Ciencia; Educación; Cultura</x:v>
      </x:c>
      <x:c r="I70" s="7" t="str">
        <x:v>Actividades</x:v>
      </x:c>
      <x:c r="J70" s="10" t="str">
        <x:v>https://mim.cl/</x:v>
      </x:c>
      <x:c r="K70" s="10" t="str">
        <x:v>https://mim.cl/</x:v>
      </x:c>
      <x:c r="L70" s="7" t="str">
        <x:v>Candidata verificada</x:v>
      </x:c>
      <x:c r="M70" s="7" t="str">
        <x:v>Sí</x:v>
      </x:c>
      <x:c r="N70" s="7" t="str">
        <x:v>Media</x:v>
      </x:c>
      <x:c r="O70" s="7" t="str">
        <x:v>HTML</x:v>
      </x:c>
      <x:c r="P70" s="8" t="n">
        <x:v>46270.666666666664</x:v>
      </x:c>
      <x:c r="Q70" s="7" t="str">
        <x:v>Fuente digital recurrente; validar términos, paginación y estabilidad antes de integrarla.</x:v>
      </x:c>
      <x:c r="R70" s="58" t="str">
        <x:v>Aprobada técnicamente</x:v>
      </x:c>
      <x:c r="S70" s="60" t="n">
        <x:v>100</x:v>
      </x:c>
      <x:c r="T70" s="58" t="str">
        <x:v>alta</x:v>
      </x:c>
      <x:c r="U70" s="60" t="n">
        <x:v>200</x:v>
      </x:c>
      <x:c r="V70" s="58" t="str">
        <x:v>Permite</x:v>
      </x:c>
      <x:c r="W70" s="64" t="str">
        <x:v>https://mim.cl/</x:v>
      </x:c>
      <x:c r="X70" s="62" t="n">
        <x:v>46271.05862872685</x:v>
      </x:c>
      <x:c r="Y70" s="58" t="str">
        <x:v>0 objetos Event JSON-LD | /</x:v>
      </x:c>
    </x:row>
    <x:row r="71" ht="42" customHeight="1">
      <x:c r="A71" s="9" t="str">
        <x:v>CL-FUE-0070</x:v>
      </x:c>
      <x:c r="B71" s="7" t="str">
        <x:v>Biblioteca Nacional de Chile</x:v>
      </x:c>
      <x:c r="C71" s="7" t="str">
        <x:v>Servicio Nacional del Patrimonio Cultural</x:v>
      </x:c>
      <x:c r="D71" s="7" t="str">
        <x:v>Biblioteca</x:v>
      </x:c>
      <x:c r="E71" s="7" t="str">
        <x:v>Nacional</x:v>
      </x:c>
      <x:c r="F71" s="7" t="str">
        <x:v>Región Metropolitana de Santiago</x:v>
      </x:c>
      <x:c r="G71" s="7" t="str">
        <x:v>Santiago</x:v>
      </x:c>
      <x:c r="H71" s="7" t="str">
        <x:v>Literatura; Patrimonio; Exposiciones; Música</x:v>
      </x:c>
      <x:c r="I71" s="7" t="str">
        <x:v>Agenda</x:v>
      </x:c>
      <x:c r="J71" s="10" t="str">
        <x:v>https://www.bibliotecanacional.gob.cl/</x:v>
      </x:c>
      <x:c r="K71" s="10" t="str">
        <x:v>https://www.bibliotecanacional.gob.cl/</x:v>
      </x:c>
      <x:c r="L71" s="7" t="str">
        <x:v>Candidata verificada</x:v>
      </x:c>
      <x:c r="M71" s="7" t="str">
        <x:v>Sí</x:v>
      </x:c>
      <x:c r="N71" s="7" t="str">
        <x:v>Alta</x:v>
      </x:c>
      <x:c r="O71" s="7" t="str">
        <x:v>HTML</x:v>
      </x:c>
      <x:c r="P71" s="8" t="n">
        <x:v>46270.666666666664</x:v>
      </x:c>
      <x:c r="Q71" s="7" t="str">
        <x:v>Fuente digital recurrente; validar términos, paginación y estabilidad antes de integrarla.</x:v>
      </x:c>
      <x:c r="R71" s="58" t="str">
        <x:v>Aprobada técnicamente</x:v>
      </x:c>
      <x:c r="S71" s="60" t="n">
        <x:v>93</x:v>
      </x:c>
      <x:c r="T71" s="58" t="str">
        <x:v>alta</x:v>
      </x:c>
      <x:c r="U71" s="60" t="n">
        <x:v>200</x:v>
      </x:c>
      <x:c r="V71" s="58" t="str">
        <x:v>Permite</x:v>
      </x:c>
      <x:c r="W71" s="64" t="str">
        <x:v>https://www.bibliotecanacional.gob.cl/</x:v>
      </x:c>
      <x:c r="X71" s="62" t="n">
        <x:v>46271.05863131944</x:v>
      </x:c>
      <x:c r="Y71" s="58" t="str">
        <x:v>0 objetos Event JSON-LD | /</x:v>
      </x:c>
    </x:row>
    <x:row r="72" ht="42" customHeight="1">
      <x:c r="A72" s="9" t="str">
        <x:v>CL-FUE-0071</x:v>
      </x:c>
      <x:c r="B72" s="7" t="str">
        <x:v>Teatro UC</x:v>
      </x:c>
      <x:c r="C72" s="7" t="str">
        <x:v>Pontificia Universidad Católica de Chile</x:v>
      </x:c>
      <x:c r="D72" s="7" t="str">
        <x:v>Teatro universitario</x:v>
      </x:c>
      <x:c r="E72" s="7" t="str">
        <x:v>Regional</x:v>
      </x:c>
      <x:c r="F72" s="7" t="str">
        <x:v>Región Metropolitana de Santiago</x:v>
      </x:c>
      <x:c r="G72" s="7" t="str">
        <x:v>Ñuñoa</x:v>
      </x:c>
      <x:c r="H72" s="7" t="str">
        <x:v>Teatro; Artes escénicas</x:v>
      </x:c>
      <x:c r="I72" s="7" t="str">
        <x:v>Cartelera</x:v>
      </x:c>
      <x:c r="J72" s="10" t="str">
        <x:v>https://teatrouc.uc.cl/</x:v>
      </x:c>
      <x:c r="K72" s="10" t="str">
        <x:v>https://teatrouc.uc.cl/</x:v>
      </x:c>
      <x:c r="L72" s="7" t="str">
        <x:v>Candidata verificada</x:v>
      </x:c>
      <x:c r="M72" s="7" t="str">
        <x:v>Sí</x:v>
      </x:c>
      <x:c r="N72" s="7" t="str">
        <x:v>Alta</x:v>
      </x:c>
      <x:c r="O72" s="7" t="str">
        <x:v>HTML</x:v>
      </x:c>
      <x:c r="P72" s="8" t="n">
        <x:v>46270.666666666664</x:v>
      </x:c>
      <x:c r="Q72" s="7" t="str">
        <x:v>Fuente digital recurrente; validar términos, paginación y estabilidad antes de integrarla.</x:v>
      </x:c>
      <x:c r="R72" s="58" t="str">
        <x:v>Aprobada técnicamente</x:v>
      </x:c>
      <x:c r="S72" s="60" t="n">
        <x:v>83</x:v>
      </x:c>
      <x:c r="T72" s="58" t="str">
        <x:v>alta</x:v>
      </x:c>
      <x:c r="U72" s="60" t="n">
        <x:v>200</x:v>
      </x:c>
      <x:c r="V72" s="58" t="str">
        <x:v>Permite</x:v>
      </x:c>
      <x:c r="W72" s="64" t="str">
        <x:v>https://teatrouc.uc.cl/</x:v>
      </x:c>
      <x:c r="X72" s="62" t="n">
        <x:v>46271.058647349535</x:v>
      </x:c>
      <x:c r="Y72" s="58" t="str">
        <x:v>0 objetos Event JSON-LD | /</x:v>
      </x:c>
    </x:row>
    <x:row r="73" ht="42" customHeight="1">
      <x:c r="A73" s="9" t="str">
        <x:v>CL-FUE-0072</x:v>
      </x:c>
      <x:c r="B73" s="7" t="str">
        <x:v>Teatro Nacional Chileno</x:v>
      </x:c>
      <x:c r="C73" s="7" t="str">
        <x:v>Universidad de Chile</x:v>
      </x:c>
      <x:c r="D73" s="7" t="str">
        <x:v>Teatro universitario</x:v>
      </x:c>
      <x:c r="E73" s="7" t="str">
        <x:v>Nacional</x:v>
      </x:c>
      <x:c r="F73" s="7" t="str">
        <x:v>Región Metropolitana de Santiago</x:v>
      </x:c>
      <x:c r="G73" s="7" t="str">
        <x:v>Santiago</x:v>
      </x:c>
      <x:c r="H73" s="7" t="str">
        <x:v>Teatro; Artes escénicas</x:v>
      </x:c>
      <x:c r="I73" s="7" t="str">
        <x:v>Cartelera</x:v>
      </x:c>
      <x:c r="J73" s="10" t="str">
        <x:v>https://tnch.uchile.cl/</x:v>
      </x:c>
      <x:c r="K73" s="10" t="str">
        <x:v>https://tnch.uchile.cl/</x:v>
      </x:c>
      <x:c r="L73" s="7" t="str">
        <x:v>Candidata verificada</x:v>
      </x:c>
      <x:c r="M73" s="7" t="str">
        <x:v>Sí</x:v>
      </x:c>
      <x:c r="N73" s="7" t="str">
        <x:v>Alta</x:v>
      </x:c>
      <x:c r="O73" s="7" t="str">
        <x:v>HTML</x:v>
      </x:c>
      <x:c r="P73" s="8" t="n">
        <x:v>46270.666666666664</x:v>
      </x:c>
      <x:c r="Q73" s="7" t="str">
        <x:v>Fuente digital recurrente; validar términos, paginación y estabilidad antes de integrarla.</x:v>
      </x:c>
      <x:c r="R73" s="58" t="str">
        <x:v>Aprobada técnicamente</x:v>
      </x:c>
      <x:c r="S73" s="60" t="n">
        <x:v>71</x:v>
      </x:c>
      <x:c r="T73" s="58" t="str">
        <x:v>media</x:v>
      </x:c>
      <x:c r="U73" s="60" t="n">
        <x:v>200</x:v>
      </x:c>
      <x:c r="V73" s="58" t="str">
        <x:v>Permite</x:v>
      </x:c>
      <x:c r="W73" s="64" t="str">
        <x:v>https://tnch.uchile.cl/</x:v>
      </x:c>
      <x:c r="X73" s="62" t="n">
        <x:v>46271.058637650465</x:v>
      </x:c>
      <x:c r="Y73" s="58" t="str">
        <x:v>0 objetos Event JSON-LD | /</x:v>
      </x:c>
    </x:row>
    <x:row r="74" ht="42" customHeight="1">
      <x:c r="A74" s="9" t="str">
        <x:v>CL-FUE-0073</x:v>
      </x:c>
      <x:c r="B74" s="7" t="str">
        <x:v>Centro Arte Alameda</x:v>
      </x:c>
      <x:c r="C74" s="7" t="str">
        <x:v>Centro Arte Alameda</x:v>
      </x:c>
      <x:c r="D74" s="7" t="str">
        <x:v>Centro cultural/cine</x:v>
      </x:c>
      <x:c r="E74" s="7" t="str">
        <x:v>Regional</x:v>
      </x:c>
      <x:c r="F74" s="7" t="str">
        <x:v>Región Metropolitana de Santiago</x:v>
      </x:c>
      <x:c r="G74" s="7" t="str">
        <x:v>Santiago</x:v>
      </x:c>
      <x:c r="H74" s="7" t="str">
        <x:v>Cine; Música; Artes</x:v>
      </x:c>
      <x:c r="I74" s="7" t="str">
        <x:v>Cartelera</x:v>
      </x:c>
      <x:c r="J74" s="10" t="str">
        <x:v>https://centroartealameda.cl/</x:v>
      </x:c>
      <x:c r="K74" s="10" t="str">
        <x:v>https://centroartealameda.cl/</x:v>
      </x:c>
      <x:c r="L74" s="7" t="str">
        <x:v>Candidata verificada</x:v>
      </x:c>
      <x:c r="M74" s="7" t="str">
        <x:v>Sí</x:v>
      </x:c>
      <x:c r="N74" s="7" t="str">
        <x:v>Alta</x:v>
      </x:c>
      <x:c r="O74" s="7" t="str">
        <x:v>HTML</x:v>
      </x:c>
      <x:c r="P74" s="8" t="n">
        <x:v>46270.666666666664</x:v>
      </x:c>
      <x:c r="Q74" s="7" t="str">
        <x:v>Fuente digital recurrente; validar términos, paginación y estabilidad antes de integrarla.</x:v>
      </x:c>
      <x:c r="R74" s="58" t="str">
        <x:v>No aprobada</x:v>
      </x:c>
      <x:c r="S74" s="60" t="n">
        <x:v>35</x:v>
      </x:c>
      <x:c r="T74" s="58" t="str">
        <x:v>alta</x:v>
      </x:c>
      <x:c r="U74" s="60"/>
      <x:c r="V74" s="58" t="str">
        <x:v>No permite</x:v>
      </x:c>
      <x:c r="W74" s="64" t="str"/>
      <x:c r="X74" s="62" t="n">
        <x:v>46271.05862931713</x:v>
      </x:c>
      <x:c r="Y74" s="58" t="str">
        <x:v>El sitio no permite este agente en robots.txt. | robots_txt_no_permite | robots.txt lo impide</x:v>
      </x:c>
    </x:row>
    <x:row r="75" ht="42" customHeight="1">
      <x:c r="A75" s="9" t="str">
        <x:v>CL-FUE-0074</x:v>
      </x:c>
      <x:c r="B75" s="7" t="str">
        <x:v>Cineteca Nacional de Chile</x:v>
      </x:c>
      <x:c r="C75" s="7" t="str">
        <x:v>Centro Cultural La Moneda</x:v>
      </x:c>
      <x:c r="D75" s="7" t="str">
        <x:v>Cineteca</x:v>
      </x:c>
      <x:c r="E75" s="7" t="str">
        <x:v>Nacional</x:v>
      </x:c>
      <x:c r="F75" s="7" t="str">
        <x:v>Región Metropolitana de Santiago</x:v>
      </x:c>
      <x:c r="G75" s="7" t="str">
        <x:v>Santiago</x:v>
      </x:c>
      <x:c r="H75" s="7" t="str">
        <x:v>Cine; Patrimonio audiovisual</x:v>
      </x:c>
      <x:c r="I75" s="7" t="str">
        <x:v>Cartelera</x:v>
      </x:c>
      <x:c r="J75" s="10" t="str">
        <x:v>https://www.cclm.cl/cineteca-nacional-de-chile/</x:v>
      </x:c>
      <x:c r="K75" s="10" t="str">
        <x:v>https://www.cclm.cl/</x:v>
      </x:c>
      <x:c r="L75" s="7" t="str">
        <x:v>Candidata verificada</x:v>
      </x:c>
      <x:c r="M75" s="7" t="str">
        <x:v>Sí</x:v>
      </x:c>
      <x:c r="N75" s="7" t="str">
        <x:v>Alta</x:v>
      </x:c>
      <x:c r="O75" s="7" t="str">
        <x:v>HTML</x:v>
      </x:c>
      <x:c r="P75" s="8" t="n">
        <x:v>46270.666666666664</x:v>
      </x:c>
      <x:c r="Q75" s="7" t="str">
        <x:v>Fuente digital recurrente; validar términos, paginación y estabilidad antes de integrarla.</x:v>
      </x:c>
      <x:c r="R75" s="58" t="str">
        <x:v>Aprobada técnicamente</x:v>
      </x:c>
      <x:c r="S75" s="60" t="n">
        <x:v>90</x:v>
      </x:c>
      <x:c r="T75" s="58" t="str">
        <x:v>alta</x:v>
      </x:c>
      <x:c r="U75" s="60" t="n">
        <x:v>200</x:v>
      </x:c>
      <x:c r="V75" s="58" t="str">
        <x:v>Permite</x:v>
      </x:c>
      <x:c r="W75" s="64" t="str">
        <x:v>https://www.cclm.cl/cineteca-nacional-de-chile/</x:v>
      </x:c>
      <x:c r="X75" s="62" t="n">
        <x:v>46271.0586374537</x:v>
      </x:c>
      <x:c r="Y75" s="58" t="str">
        <x:v>0 objetos Event JSON-LD | /cineteca-nacional-de-chile/</x:v>
      </x:c>
    </x:row>
    <x:row r="76" ht="42" customHeight="1">
      <x:c r="A76" s="9" t="str">
        <x:v>CL-FUE-0075</x:v>
      </x:c>
      <x:c r="B76" s="7" t="str">
        <x:v>Teatro Regional Lucho Gatica</x:v>
      </x:c>
      <x:c r="C76" s="7" t="str">
        <x:v>Corporación de la Cultura y las Artes de Rancagua</x:v>
      </x:c>
      <x:c r="D76" s="7" t="str">
        <x:v>Teatro</x:v>
      </x:c>
      <x:c r="E76" s="7" t="str">
        <x:v>Regional</x:v>
      </x:c>
      <x:c r="F76" s="7" t="str">
        <x:v>Región del Libertador General Bernardo O'Higgins</x:v>
      </x:c>
      <x:c r="G76" s="7" t="str">
        <x:v>Rancagua</x:v>
      </x:c>
      <x:c r="H76" s="7" t="str">
        <x:v>Teatro; Música; Danza</x:v>
      </x:c>
      <x:c r="I76" s="7" t="str">
        <x:v>Cartelera</x:v>
      </x:c>
      <x:c r="J76" s="10" t="str">
        <x:v>https://rancaguacultura.cl/</x:v>
      </x:c>
      <x:c r="K76" s="10" t="str">
        <x:v>https://rancaguacultura.cl/</x:v>
      </x:c>
      <x:c r="L76" s="7" t="str">
        <x:v>Candidata verificada</x:v>
      </x:c>
      <x:c r="M76" s="7" t="str">
        <x:v>Sí</x:v>
      </x:c>
      <x:c r="N76" s="7" t="str">
        <x:v>Media</x:v>
      </x:c>
      <x:c r="O76" s="7" t="str">
        <x:v>HTML</x:v>
      </x:c>
      <x:c r="P76" s="8" t="n">
        <x:v>46270.666666666664</x:v>
      </x:c>
      <x:c r="Q76" s="7" t="str">
        <x:v>Fuente digital recurrente; validar términos, paginación y estabilidad antes de integrarla.</x:v>
      </x:c>
      <x:c r="R76" s="58" t="str">
        <x:v>Aprobada técnicamente</x:v>
      </x:c>
      <x:c r="S76" s="60" t="n">
        <x:v>93</x:v>
      </x:c>
      <x:c r="T76" s="58" t="str">
        <x:v>alta</x:v>
      </x:c>
      <x:c r="U76" s="60" t="n">
        <x:v>200</x:v>
      </x:c>
      <x:c r="V76" s="58" t="str">
        <x:v>Permite</x:v>
      </x:c>
      <x:c r="W76" s="64" t="str">
        <x:v>https://rancaguacultura.cl/</x:v>
      </x:c>
      <x:c r="X76" s="62" t="n">
        <x:v>46271.058645046294</x:v>
      </x:c>
      <x:c r="Y76" s="58" t="str">
        <x:v>0 objetos Event JSON-LD | /</x:v>
      </x:c>
    </x:row>
    <x:row r="77" ht="42" customHeight="1">
      <x:c r="A77" s="9" t="str">
        <x:v>CL-FUE-0076</x:v>
      </x:c>
      <x:c r="B77" s="7" t="str">
        <x:v>Fiesta de la Vendimia de Colchagua</x:v>
      </x:c>
      <x:c r="C77" s="7" t="str">
        <x:v>Municipalidad de Santa Cruz / Ruta del Vino Colchagua</x:v>
      </x:c>
      <x:c r="D77" s="7" t="str">
        <x:v>Fiesta costumbrista/vinícola</x:v>
      </x:c>
      <x:c r="E77" s="7" t="str">
        <x:v>Regional</x:v>
      </x:c>
      <x:c r="F77" s="7" t="str">
        <x:v>Región del Libertador General Bernardo O'Higgins</x:v>
      </x:c>
      <x:c r="G77" s="7" t="str">
        <x:v>Santa Cruz</x:v>
      </x:c>
      <x:c r="H77" s="7" t="str">
        <x:v>Vendimia; Música; Gastronomía; Patrimonio</x:v>
      </x:c>
      <x:c r="I77" s="7" t="str">
        <x:v>Sitio/calendario</x:v>
      </x:c>
      <x:c r="J77" s="10" t="str">
        <x:v>https://www.rutadelvino.cl/</x:v>
      </x:c>
      <x:c r="K77" s="10" t="str">
        <x:v>https://www.enoturismochile.cl/descargas/</x:v>
      </x:c>
      <x:c r="L77" s="7" t="str">
        <x:v>Candidata verificada</x:v>
      </x:c>
      <x:c r="M77" s="7" t="str">
        <x:v>Sí</x:v>
      </x:c>
      <x:c r="N77" s="7" t="str">
        <x:v>Alta</x:v>
      </x:c>
      <x:c r="O77" s="7" t="str">
        <x:v>HTML/PDF</x:v>
      </x:c>
      <x:c r="P77" s="8" t="n">
        <x:v>46270.666666666664</x:v>
      </x:c>
      <x:c r="Q77" s="7" t="str">
        <x:v>Fuente digital recurrente; validar términos, paginación y estabilidad antes de integrarla.</x:v>
      </x:c>
      <x:c r="R77" s="58" t="str">
        <x:v>Revisión manual</x:v>
      </x:c>
      <x:c r="S77" s="60" t="n">
        <x:v>69</x:v>
      </x:c>
      <x:c r="T77" s="58" t="str">
        <x:v>media</x:v>
      </x:c>
      <x:c r="U77" s="60" t="n">
        <x:v>200</x:v>
      </x:c>
      <x:c r="V77" s="58" t="str">
        <x:v>Permite</x:v>
      </x:c>
      <x:c r="W77" s="64" t="str">
        <x:v>https://rutadelvino.cl/es</x:v>
      </x:c>
      <x:c r="X77" s="62" t="n">
        <x:v>46271.05866993056</x:v>
      </x:c>
      <x:c r="Y77" s="58" t="str">
        <x:v>eventos | 0 objetos Event JSON-LD | 0 señales</x:v>
      </x:c>
    </x:row>
    <x:row r="78" ht="42" customHeight="1">
      <x:c r="A78" s="9" t="str">
        <x:v>CL-FUE-0077</x:v>
      </x:c>
      <x:c r="B78" s="7" t="str">
        <x:v>Teatro Regional del Maule</x:v>
      </x:c>
      <x:c r="C78" s="7" t="str">
        <x:v>Corporación Regional de Desarrollo Productivo del Maule</x:v>
      </x:c>
      <x:c r="D78" s="7" t="str">
        <x:v>Teatro</x:v>
      </x:c>
      <x:c r="E78" s="7" t="str">
        <x:v>Regional</x:v>
      </x:c>
      <x:c r="F78" s="7" t="str">
        <x:v>Región del Maule</x:v>
      </x:c>
      <x:c r="G78" s="7" t="str">
        <x:v>Talca</x:v>
      </x:c>
      <x:c r="H78" s="7" t="str">
        <x:v>Teatro; Música; Danza</x:v>
      </x:c>
      <x:c r="I78" s="7" t="str">
        <x:v>Cartelera</x:v>
      </x:c>
      <x:c r="J78" s="10" t="str">
        <x:v>https://www.teatroregional.cl/</x:v>
      </x:c>
      <x:c r="K78" s="10" t="str">
        <x:v>https://www.teatroregional.cl/</x:v>
      </x:c>
      <x:c r="L78" s="7" t="str">
        <x:v>Candidata verificada</x:v>
      </x:c>
      <x:c r="M78" s="7" t="str">
        <x:v>Sí</x:v>
      </x:c>
      <x:c r="N78" s="7" t="str">
        <x:v>Alta</x:v>
      </x:c>
      <x:c r="O78" s="7" t="str">
        <x:v>HTML</x:v>
      </x:c>
      <x:c r="P78" s="8" t="n">
        <x:v>46270.666666666664</x:v>
      </x:c>
      <x:c r="Q78" s="7" t="str">
        <x:v>Fuente digital recurrente; validar términos, paginación y estabilidad antes de integrarla.</x:v>
      </x:c>
      <x:c r="R78" s="58" t="str">
        <x:v>Aprobada técnicamente</x:v>
      </x:c>
      <x:c r="S78" s="60" t="n">
        <x:v>84</x:v>
      </x:c>
      <x:c r="T78" s="58" t="str">
        <x:v>alta</x:v>
      </x:c>
      <x:c r="U78" s="60" t="n">
        <x:v>200</x:v>
      </x:c>
      <x:c r="V78" s="58" t="str">
        <x:v>Permite</x:v>
      </x:c>
      <x:c r="W78" s="64" t="str">
        <x:v>https://www.teatroregional.cl/</x:v>
      </x:c>
      <x:c r="X78" s="62" t="n">
        <x:v>46271.05866674768</x:v>
      </x:c>
      <x:c r="Y78" s="58" t="str">
        <x:v>cartelera | 0 objetos Event JSON-LD | /</x:v>
      </x:c>
    </x:row>
    <x:row r="79" ht="42" customHeight="1">
      <x:c r="A79" s="9" t="str">
        <x:v>CL-FUE-0078</x:v>
      </x:c>
      <x:c r="B79" s="7" t="str">
        <x:v>Extensión Cultural UCM</x:v>
      </x:c>
      <x:c r="C79" s="7" t="str">
        <x:v>Universidad Católica del Maule</x:v>
      </x:c>
      <x:c r="D79" s="7" t="str">
        <x:v>Agenda universitaria</x:v>
      </x:c>
      <x:c r="E79" s="7" t="str">
        <x:v>Regional</x:v>
      </x:c>
      <x:c r="F79" s="7" t="str">
        <x:v>Región del Maule</x:v>
      </x:c>
      <x:c r="G79" s="7" t="str">
        <x:v>Talca/Curicó</x:v>
      </x:c>
      <x:c r="H79" s="7" t="str">
        <x:v>Artes; Música; Cine; Literatura</x:v>
      </x:c>
      <x:c r="I79" s="7" t="str">
        <x:v>Agenda</x:v>
      </x:c>
      <x:c r="J79" s="10" t="str">
        <x:v>https://portal.ucm.cl/extension</x:v>
      </x:c>
      <x:c r="K79" s="10" t="str">
        <x:v>https://portal.ucm.cl/extension</x:v>
      </x:c>
      <x:c r="L79" s="7" t="str">
        <x:v>Candidata verificada</x:v>
      </x:c>
      <x:c r="M79" s="7" t="str">
        <x:v>Sí</x:v>
      </x:c>
      <x:c r="N79" s="7" t="str">
        <x:v>Media</x:v>
      </x:c>
      <x:c r="O79" s="7" t="str">
        <x:v>HTML</x:v>
      </x:c>
      <x:c r="P79" s="8" t="n">
        <x:v>46270.666666666664</x:v>
      </x:c>
      <x:c r="Q79" s="7" t="str">
        <x:v>Fuente digital recurrente; validar términos, paginación y estabilidad antes de integrarla.</x:v>
      </x:c>
      <x:c r="R79" s="58" t="str">
        <x:v>No aprobada</x:v>
      </x:c>
      <x:c r="S79" s="60" t="n">
        <x:v>35</x:v>
      </x:c>
      <x:c r="T79" s="58" t="str">
        <x:v>alta</x:v>
      </x:c>
      <x:c r="U79" s="60"/>
      <x:c r="V79" s="58" t="str">
        <x:v>No permite</x:v>
      </x:c>
      <x:c r="W79" s="64" t="str"/>
      <x:c r="X79" s="62" t="n">
        <x:v>46271.05864144676</x:v>
      </x:c>
      <x:c r="Y79" s="58" t="str">
        <x:v>El sitio no permite este agente en robots.txt. | robots_txt_no_permite | robots.txt lo impide</x:v>
      </x:c>
    </x:row>
    <x:row r="80" ht="42" customHeight="1">
      <x:c r="A80" s="9" t="str">
        <x:v>CL-FUE-0079</x:v>
      </x:c>
      <x:c r="B80" s="7" t="str">
        <x:v>Teatro Municipal de Chillán</x:v>
      </x:c>
      <x:c r="C80" s="7" t="str">
        <x:v>Municipalidad de Chillán</x:v>
      </x:c>
      <x:c r="D80" s="7" t="str">
        <x:v>Teatro municipal</x:v>
      </x:c>
      <x:c r="E80" s="7" t="str">
        <x:v>Regional</x:v>
      </x:c>
      <x:c r="F80" s="7" t="str">
        <x:v>Región de Ñuble</x:v>
      </x:c>
      <x:c r="G80" s="7" t="str">
        <x:v>Chillán</x:v>
      </x:c>
      <x:c r="H80" s="7" t="str">
        <x:v>Teatro; Música; Danza</x:v>
      </x:c>
      <x:c r="I80" s="7" t="str">
        <x:v>Cartelera</x:v>
      </x:c>
      <x:c r="J80" s="10" t="str">
        <x:v>https://teatromunicipalchillan.cl/</x:v>
      </x:c>
      <x:c r="K80" s="10" t="str">
        <x:v>https://teatromunicipalchillan.cl/</x:v>
      </x:c>
      <x:c r="L80" s="7" t="str">
        <x:v>Candidata verificada</x:v>
      </x:c>
      <x:c r="M80" s="7" t="str">
        <x:v>Sí</x:v>
      </x:c>
      <x:c r="N80" s="7" t="str">
        <x:v>Alta</x:v>
      </x:c>
      <x:c r="O80" s="7" t="str">
        <x:v>HTML</x:v>
      </x:c>
      <x:c r="P80" s="8" t="n">
        <x:v>46270.666666666664</x:v>
      </x:c>
      <x:c r="Q80" s="7" t="str">
        <x:v>Fuente digital recurrente; validar términos, paginación y estabilidad antes de integrarla.</x:v>
      </x:c>
      <x:c r="R80" s="58" t="str">
        <x:v>Revisión manual</x:v>
      </x:c>
      <x:c r="S80" s="60" t="n">
        <x:v>32</x:v>
      </x:c>
      <x:c r="T80" s="58" t="str">
        <x:v>media</x:v>
      </x:c>
      <x:c r="U80" s="60"/>
      <x:c r="V80" s="58" t="str">
        <x:v>Sin dato</x:v>
      </x:c>
      <x:c r="W80" s="64" t="str"/>
      <x:c r="X80" s="62" t="n">
        <x:v>46271.05864174769</x:v>
      </x:c>
      <x:c r="Y80" s="58" t="str">
        <x:v>error_red: HTTPSConnectionPool(host='teatromunicipalchillan.cl', port=443): Max retries exceeded with url: / (Caused by NameResolutionError("HTTPSConnection(host='teatromunicipalchillan.cl', port=443): Failed to resolve 'teatromunicipalchillan.cl' ([E | sin Content-Type | sin términos de agenda</x:v>
      </x:c>
    </x:row>
    <x:row r="81" ht="42" customHeight="1">
      <x:c r="A81" s="9" t="str">
        <x:v>CL-FUE-0080</x:v>
      </x:c>
      <x:c r="B81" s="7" t="str">
        <x:v>Centro Cultural Municipal de Chillán</x:v>
      </x:c>
      <x:c r="C81" s="7" t="str">
        <x:v>Municipalidad de Chillán</x:v>
      </x:c>
      <x:c r="D81" s="7" t="str">
        <x:v>Centro cultural</x:v>
      </x:c>
      <x:c r="E81" s="7" t="str">
        <x:v>Regional/comunal</x:v>
      </x:c>
      <x:c r="F81" s="7" t="str">
        <x:v>Región de Ñuble</x:v>
      </x:c>
      <x:c r="G81" s="7" t="str">
        <x:v>Chillán</x:v>
      </x:c>
      <x:c r="H81" s="7" t="str">
        <x:v>Artes; Talleres; Cultura comunitaria</x:v>
      </x:c>
      <x:c r="I81" s="7" t="str">
        <x:v>Programación</x:v>
      </x:c>
      <x:c r="J81" s="10" t="str">
        <x:v>https://www.municipalidadchillan.cl/</x:v>
      </x:c>
      <x:c r="K81" s="10" t="str">
        <x:v>https://www.municipalidadchillan.cl/</x:v>
      </x:c>
      <x:c r="L81" s="7" t="str">
        <x:v>Candidata verificada</x:v>
      </x:c>
      <x:c r="M81" s="7" t="str">
        <x:v>Sí</x:v>
      </x:c>
      <x:c r="N81" s="7" t="str">
        <x:v>Media</x:v>
      </x:c>
      <x:c r="O81" s="7" t="str">
        <x:v>HTML</x:v>
      </x:c>
      <x:c r="P81" s="8" t="n">
        <x:v>46270.666666666664</x:v>
      </x:c>
      <x:c r="Q81" s="7" t="str">
        <x:v>Fuente digital recurrente; validar términos, paginación y estabilidad antes de integrarla.</x:v>
      </x:c>
      <x:c r="R81" s="58" t="str">
        <x:v>Aprobada técnicamente</x:v>
      </x:c>
      <x:c r="S81" s="60" t="n">
        <x:v>84</x:v>
      </x:c>
      <x:c r="T81" s="58" t="str">
        <x:v>alta</x:v>
      </x:c>
      <x:c r="U81" s="60" t="n">
        <x:v>200</x:v>
      </x:c>
      <x:c r="V81" s="58" t="str">
        <x:v>Sin dato</x:v>
      </x:c>
      <x:c r="W81" s="64" t="str">
        <x:v>https://www.municipalidadchillan.cl/sitio/</x:v>
      </x:c>
      <x:c r="X81" s="62" t="n">
        <x:v>46271.058663055555</x:v>
      </x:c>
      <x:c r="Y81" s="58" t="str">
        <x:v>0 objetos Event JSON-LD | /sitio/</x:v>
      </x:c>
    </x:row>
    <x:row r="82" ht="42" customHeight="1">
      <x:c r="A82" s="9" t="str">
        <x:v>CL-FUE-0081</x:v>
      </x:c>
      <x:c r="B82" s="7" t="str">
        <x:v>Concepción Cultural</x:v>
      </x:c>
      <x:c r="C82" s="7" t="str">
        <x:v>Corporación Cultural de Concepción</x:v>
      </x:c>
      <x:c r="D82" s="7" t="str">
        <x:v>Agenda municipal</x:v>
      </x:c>
      <x:c r="E82" s="7" t="str">
        <x:v>Regional/comunal</x:v>
      </x:c>
      <x:c r="F82" s="7" t="str">
        <x:v>Región del Biobío</x:v>
      </x:c>
      <x:c r="G82" s="7" t="str">
        <x:v>Concepción</x:v>
      </x:c>
      <x:c r="H82" s="7" t="str">
        <x:v>Multidisciplinario</x:v>
      </x:c>
      <x:c r="I82" s="7" t="str">
        <x:v>Agenda web</x:v>
      </x:c>
      <x:c r="J82" s="10" t="str">
        <x:v>https://www.concepcioncultural.cl/</x:v>
      </x:c>
      <x:c r="K82" s="10" t="str">
        <x:v>https://www.concepcioncultural.cl/</x:v>
      </x:c>
      <x:c r="L82" s="7" t="str">
        <x:v>Candidata verificada</x:v>
      </x:c>
      <x:c r="M82" s="7" t="str">
        <x:v>Sí</x:v>
      </x:c>
      <x:c r="N82" s="7" t="str">
        <x:v>Alta</x:v>
      </x:c>
      <x:c r="O82" s="7" t="str">
        <x:v>HTML</x:v>
      </x:c>
      <x:c r="P82" s="8" t="n">
        <x:v>46270.666666666664</x:v>
      </x:c>
      <x:c r="Q82" s="7" t="str">
        <x:v>Fuente digital recurrente; validar términos, paginación y estabilidad antes de integrarla.</x:v>
      </x:c>
      <x:c r="R82" s="58" t="str">
        <x:v>Aprobada técnicamente</x:v>
      </x:c>
      <x:c r="S82" s="60" t="n">
        <x:v>90</x:v>
      </x:c>
      <x:c r="T82" s="58" t="str">
        <x:v>alta</x:v>
      </x:c>
      <x:c r="U82" s="60" t="n">
        <x:v>200</x:v>
      </x:c>
      <x:c r="V82" s="58" t="str">
        <x:v>Permite</x:v>
      </x:c>
      <x:c r="W82" s="64" t="str">
        <x:v>https://www.concepcioncultural.cl/</x:v>
      </x:c>
      <x:c r="X82" s="62" t="n">
        <x:v>46271.058676898145</x:v>
      </x:c>
      <x:c r="Y82" s="58" t="str">
        <x:v>0 objetos Event JSON-LD | /</x:v>
      </x:c>
    </x:row>
    <x:row r="83" ht="42" customHeight="1">
      <x:c r="A83" s="9" t="str">
        <x:v>CL-FUE-0082</x:v>
      </x:c>
      <x:c r="B83" s="7" t="str">
        <x:v>Teatro Biobío</x:v>
      </x:c>
      <x:c r="C83" s="7" t="str">
        <x:v>Fundación Teatro Biobío</x:v>
      </x:c>
      <x:c r="D83" s="7" t="str">
        <x:v>Teatro</x:v>
      </x:c>
      <x:c r="E83" s="7" t="str">
        <x:v>Regional/nacional</x:v>
      </x:c>
      <x:c r="F83" s="7" t="str">
        <x:v>Región del Biobío</x:v>
      </x:c>
      <x:c r="G83" s="7" t="str">
        <x:v>Concepción</x:v>
      </x:c>
      <x:c r="H83" s="7" t="str">
        <x:v>Teatro; Música; Danza; Circo</x:v>
      </x:c>
      <x:c r="I83" s="7" t="str">
        <x:v>Cartelera</x:v>
      </x:c>
      <x:c r="J83" s="10" t="str">
        <x:v>https://www.teatrobiobio.cl/</x:v>
      </x:c>
      <x:c r="K83" s="10" t="str">
        <x:v>https://www.teatrobiobio.cl/</x:v>
      </x:c>
      <x:c r="L83" s="7" t="str">
        <x:v>Candidata verificada</x:v>
      </x:c>
      <x:c r="M83" s="7" t="str">
        <x:v>Sí</x:v>
      </x:c>
      <x:c r="N83" s="7" t="str">
        <x:v>Alta</x:v>
      </x:c>
      <x:c r="O83" s="7" t="str">
        <x:v>API/HTML</x:v>
      </x:c>
      <x:c r="P83" s="8" t="n">
        <x:v>46270.666666666664</x:v>
      </x:c>
      <x:c r="Q83" s="7" t="str">
        <x:v>Fuente digital recurrente; validar términos, paginación y estabilidad antes de integrarla.</x:v>
      </x:c>
      <x:c r="R83" s="58" t="str">
        <x:v>Aprobada técnicamente</x:v>
      </x:c>
      <x:c r="S83" s="60" t="n">
        <x:v>73</x:v>
      </x:c>
      <x:c r="T83" s="58" t="str">
        <x:v>media</x:v>
      </x:c>
      <x:c r="U83" s="60" t="n">
        <x:v>200</x:v>
      </x:c>
      <x:c r="V83" s="58" t="str">
        <x:v>Permite</x:v>
      </x:c>
      <x:c r="W83" s="64" t="str">
        <x:v>https://teatrobiobio.cl/</x:v>
      </x:c>
      <x:c r="X83" s="62" t="n">
        <x:v>46271.058695127314</x:v>
      </x:c>
      <x:c r="Y83" s="58" t="str">
        <x:v>0 objetos Event JSON-LD | 0 señales | /</x:v>
      </x:c>
    </x:row>
    <x:row r="84" ht="42" customHeight="1">
      <x:c r="A84" s="9" t="str">
        <x:v>CL-FUE-0083</x:v>
      </x:c>
      <x:c r="B84" s="7" t="str">
        <x:v>Corcudec</x:v>
      </x:c>
      <x:c r="C84" s="7" t="str">
        <x:v>Corporación Cultural Universidad de Concepción</x:v>
      </x:c>
      <x:c r="D84" s="7" t="str">
        <x:v>Agenda universitaria</x:v>
      </x:c>
      <x:c r="E84" s="7" t="str">
        <x:v>Regional</x:v>
      </x:c>
      <x:c r="F84" s="7" t="str">
        <x:v>Región del Biobío</x:v>
      </x:c>
      <x:c r="G84" s="7" t="str">
        <x:v>Concepción</x:v>
      </x:c>
      <x:c r="H84" s="7" t="str">
        <x:v>Música; Artes; Extensión</x:v>
      </x:c>
      <x:c r="I84" s="7" t="str">
        <x:v>Cartelera</x:v>
      </x:c>
      <x:c r="J84" s="10" t="str">
        <x:v>https://www.corcudec.cl/</x:v>
      </x:c>
      <x:c r="K84" s="10" t="str">
        <x:v>https://www.corcudec.cl/</x:v>
      </x:c>
      <x:c r="L84" s="7" t="str">
        <x:v>Candidata verificada</x:v>
      </x:c>
      <x:c r="M84" s="7" t="str">
        <x:v>Sí</x:v>
      </x:c>
      <x:c r="N84" s="7" t="str">
        <x:v>Alta</x:v>
      </x:c>
      <x:c r="O84" s="7" t="str">
        <x:v>HTML</x:v>
      </x:c>
      <x:c r="P84" s="8" t="n">
        <x:v>46270.666666666664</x:v>
      </x:c>
      <x:c r="Q84" s="7" t="str">
        <x:v>Fuente digital recurrente; validar términos, paginación y estabilidad antes de integrarla.</x:v>
      </x:c>
      <x:c r="R84" s="58" t="str">
        <x:v>Aprobada técnicamente</x:v>
      </x:c>
      <x:c r="S84" s="60" t="n">
        <x:v>72</x:v>
      </x:c>
      <x:c r="T84" s="58" t="str">
        <x:v>media</x:v>
      </x:c>
      <x:c r="U84" s="60" t="n">
        <x:v>200</x:v>
      </x:c>
      <x:c r="V84" s="58" t="str">
        <x:v>Sin dato</x:v>
      </x:c>
      <x:c r="W84" s="64" t="str">
        <x:v>https://www.corcudec.cl/</x:v>
      </x:c>
      <x:c r="X84" s="62" t="n">
        <x:v>46271.05868087963</x:v>
      </x:c>
      <x:c r="Y84" s="58" t="str">
        <x:v>temporada | 0 objetos Event JSON-LD | /</x:v>
      </x:c>
    </x:row>
    <x:row r="85" ht="42" customHeight="1">
      <x:c r="A85" s="9" t="str">
        <x:v>CL-FUE-0084</x:v>
      </x:c>
      <x:c r="B85" s="7" t="str">
        <x:v>Artistas del Acero</x:v>
      </x:c>
      <x:c r="C85" s="7" t="str">
        <x:v>Corporación Cultural Artistas del Acero</x:v>
      </x:c>
      <x:c r="D85" s="7" t="str">
        <x:v>Centro cultural</x:v>
      </x:c>
      <x:c r="E85" s="7" t="str">
        <x:v>Regional</x:v>
      </x:c>
      <x:c r="F85" s="7" t="str">
        <x:v>Región del Biobío</x:v>
      </x:c>
      <x:c r="G85" s="7" t="str">
        <x:v>Concepción</x:v>
      </x:c>
      <x:c r="H85" s="7" t="str">
        <x:v>Teatro; Danza; Música; Artes</x:v>
      </x:c>
      <x:c r="I85" s="7" t="str">
        <x:v>Cartelera</x:v>
      </x:c>
      <x:c r="J85" s="10" t="str">
        <x:v>https://artistasdelacero.cl/</x:v>
      </x:c>
      <x:c r="K85" s="10" t="str">
        <x:v>https://artistasdelacero.cl/</x:v>
      </x:c>
      <x:c r="L85" s="7" t="str">
        <x:v>Candidata verificada</x:v>
      </x:c>
      <x:c r="M85" s="7" t="str">
        <x:v>Sí</x:v>
      </x:c>
      <x:c r="N85" s="7" t="str">
        <x:v>Alta</x:v>
      </x:c>
      <x:c r="O85" s="7" t="str">
        <x:v>HTML</x:v>
      </x:c>
      <x:c r="P85" s="8" t="n">
        <x:v>46270.666666666664</x:v>
      </x:c>
      <x:c r="Q85" s="7" t="str">
        <x:v>Fuente digital recurrente; validar términos, paginación y estabilidad antes de integrarla.</x:v>
      </x:c>
      <x:c r="R85" s="58" t="str">
        <x:v>Revisión manual</x:v>
      </x:c>
      <x:c r="S85" s="60" t="n">
        <x:v>40</x:v>
      </x:c>
      <x:c r="T85" s="58" t="str">
        <x:v>media</x:v>
      </x:c>
      <x:c r="U85" s="60"/>
      <x:c r="V85" s="58" t="str">
        <x:v>Sin dato</x:v>
      </x:c>
      <x:c r="W85" s="64" t="str"/>
      <x:c r="X85" s="62" t="n">
        <x:v>46271.05867013889</x:v>
      </x:c>
      <x:c r="Y85" s="58" t="str">
        <x:v>error_tls: HTTPSConnectionPool(host='artistasdelacero.cl', port=443): Max retries exceeded with url: / (Caused by SSLError(SSLError(1, '[SSL: SSLV3_ALERT_HANDSHAKE_FAILURE] ssl/tls alert handshake failure (_ssl.c:1082)'))) | sin Content-Type | sin términos de agenda</x:v>
      </x:c>
    </x:row>
    <x:row r="86" ht="42" customHeight="1">
      <x:c r="A86" s="9" t="str">
        <x:v>CL-FUE-0085</x:v>
      </x:c>
      <x:c r="B86" s="7" t="str">
        <x:v>Balmaceda Arte Joven Biobío</x:v>
      </x:c>
      <x:c r="C86" s="7" t="str">
        <x:v>Balmaceda Arte Joven</x:v>
      </x:c>
      <x:c r="D86" s="7" t="str">
        <x:v>Centro cultural</x:v>
      </x:c>
      <x:c r="E86" s="7" t="str">
        <x:v>Regional</x:v>
      </x:c>
      <x:c r="F86" s="7" t="str">
        <x:v>Región del Biobío</x:v>
      </x:c>
      <x:c r="G86" s="7" t="str">
        <x:v>Concepción</x:v>
      </x:c>
      <x:c r="H86" s="7" t="str">
        <x:v>Artes; Formación; Juventudes</x:v>
      </x:c>
      <x:c r="I86" s="7" t="str">
        <x:v>Agenda</x:v>
      </x:c>
      <x:c r="J86" s="10" t="str">
        <x:v>https://www.balmacedartejoven.cl/</x:v>
      </x:c>
      <x:c r="K86" s="10" t="str">
        <x:v>https://www.balmacedartejoven.cl/</x:v>
      </x:c>
      <x:c r="L86" s="7" t="str">
        <x:v>Candidata verificada</x:v>
      </x:c>
      <x:c r="M86" s="7" t="str">
        <x:v>Sí</x:v>
      </x:c>
      <x:c r="N86" s="7" t="str">
        <x:v>Media</x:v>
      </x:c>
      <x:c r="O86" s="7" t="str">
        <x:v>HTML</x:v>
      </x:c>
      <x:c r="P86" s="8" t="n">
        <x:v>46270.666666666664</x:v>
      </x:c>
      <x:c r="Q86" s="7" t="str">
        <x:v>Fuente digital recurrente; validar términos, paginación y estabilidad antes de integrarla.</x:v>
      </x:c>
      <x:c r="R86" s="58" t="str">
        <x:v>Aprobada técnicamente</x:v>
      </x:c>
      <x:c r="S86" s="60" t="n">
        <x:v>83</x:v>
      </x:c>
      <x:c r="T86" s="58" t="str">
        <x:v>alta</x:v>
      </x:c>
      <x:c r="U86" s="60" t="n">
        <x:v>200</x:v>
      </x:c>
      <x:c r="V86" s="58" t="str">
        <x:v>Permite</x:v>
      </x:c>
      <x:c r="W86" s="64" t="str">
        <x:v>https://www.balmacedartejoven.cl/</x:v>
      </x:c>
      <x:c r="X86" s="62" t="n">
        <x:v>46271.0586996875</x:v>
      </x:c>
      <x:c r="Y86" s="58" t="str">
        <x:v>0 objetos Event JSON-LD | /</x:v>
      </x:c>
    </x:row>
    <x:row r="87" ht="42" customHeight="1">
      <x:c r="A87" s="9" t="str">
        <x:v>CL-FUE-0086</x:v>
      </x:c>
      <x:c r="B87" s="7" t="str">
        <x:v>Festival Internacional de Cine de Lebu</x:v>
      </x:c>
      <x:c r="C87" s="7" t="str">
        <x:v>Agrupación Cultural Festival de Cine Caverna Benavides</x:v>
      </x:c>
      <x:c r="D87" s="7" t="str">
        <x:v>Festival</x:v>
      </x:c>
      <x:c r="E87" s="7" t="str">
        <x:v>Nacional/internacional</x:v>
      </x:c>
      <x:c r="F87" s="7" t="str">
        <x:v>Región del Biobío</x:v>
      </x:c>
      <x:c r="G87" s="7" t="str">
        <x:v>Lebu</x:v>
      </x:c>
      <x:c r="H87" s="7" t="str">
        <x:v>Cine; Audiovisual</x:v>
      </x:c>
      <x:c r="I87" s="7" t="str">
        <x:v>Programación</x:v>
      </x:c>
      <x:c r="J87" s="10" t="str">
        <x:v>https://cinelebu.cl/</x:v>
      </x:c>
      <x:c r="K87" s="10" t="str">
        <x:v>https://cinelebu.cl/</x:v>
      </x:c>
      <x:c r="L87" s="7" t="str">
        <x:v>Candidata verificada</x:v>
      </x:c>
      <x:c r="M87" s="7" t="str">
        <x:v>Sí</x:v>
      </x:c>
      <x:c r="N87" s="7" t="str">
        <x:v>Alta</x:v>
      </x:c>
      <x:c r="O87" s="7" t="str">
        <x:v>HTML</x:v>
      </x:c>
      <x:c r="P87" s="8" t="n">
        <x:v>46270.666666666664</x:v>
      </x:c>
      <x:c r="Q87" s="7" t="str">
        <x:v>Fuente digital recurrente; validar términos, paginación y estabilidad antes de integrarla.</x:v>
      </x:c>
      <x:c r="R87" s="58" t="str">
        <x:v>Revisión manual</x:v>
      </x:c>
      <x:c r="S87" s="60" t="n">
        <x:v>68</x:v>
      </x:c>
      <x:c r="T87" s="58" t="str">
        <x:v>media</x:v>
      </x:c>
      <x:c r="U87" s="60" t="n">
        <x:v>200</x:v>
      </x:c>
      <x:c r="V87" s="58" t="str">
        <x:v>Permite</x:v>
      </x:c>
      <x:c r="W87" s="64" t="str">
        <x:v>https://cinelebu.cl/</x:v>
      </x:c>
      <x:c r="X87" s="62" t="n">
        <x:v>46271.058703090275</x:v>
      </x:c>
      <x:c r="Y87" s="58" t="str">
        <x:v>programa | 0 objetos Event JSON-LD | 0 señales</x:v>
      </x:c>
    </x:row>
    <x:row r="88" ht="42" customHeight="1">
      <x:c r="A88" s="9" t="str">
        <x:v>CL-FUE-0087</x:v>
      </x:c>
      <x:c r="B88" s="7" t="str">
        <x:v>Festival Frontera Sur</x:v>
      </x:c>
      <x:c r="C88" s="7" t="str">
        <x:v>Festival Internacional de Cine de No Ficción Frontera Sur</x:v>
      </x:c>
      <x:c r="D88" s="7" t="str">
        <x:v>Festival</x:v>
      </x:c>
      <x:c r="E88" s="7" t="str">
        <x:v>Nacional/internacional</x:v>
      </x:c>
      <x:c r="F88" s="7" t="str">
        <x:v>Región del Biobío</x:v>
      </x:c>
      <x:c r="G88" s="7" t="str">
        <x:v>Concepción</x:v>
      </x:c>
      <x:c r="H88" s="7" t="str">
        <x:v>Cine documental; Audiovisual</x:v>
      </x:c>
      <x:c r="I88" s="7" t="str">
        <x:v>Programación</x:v>
      </x:c>
      <x:c r="J88" s="10" t="str">
        <x:v>https://fronterasurfestival.com/</x:v>
      </x:c>
      <x:c r="K88" s="10" t="str">
        <x:v>https://fronterasurfestival.com/</x:v>
      </x:c>
      <x:c r="L88" s="7" t="str">
        <x:v>Candidata verificada</x:v>
      </x:c>
      <x:c r="M88" s="7" t="str">
        <x:v>Sí</x:v>
      </x:c>
      <x:c r="N88" s="7" t="str">
        <x:v>Media</x:v>
      </x:c>
      <x:c r="O88" s="7" t="str">
        <x:v>HTML</x:v>
      </x:c>
      <x:c r="P88" s="8" t="n">
        <x:v>46270.666666666664</x:v>
      </x:c>
      <x:c r="Q88" s="7" t="str">
        <x:v>Fuente digital recurrente; validar términos, paginación y estabilidad antes de integrarla.</x:v>
      </x:c>
      <x:c r="R88" s="58" t="str">
        <x:v>Aprobada técnicamente</x:v>
      </x:c>
      <x:c r="S88" s="60" t="n">
        <x:v>86</x:v>
      </x:c>
      <x:c r="T88" s="58" t="str">
        <x:v>alta</x:v>
      </x:c>
      <x:c r="U88" s="60" t="n">
        <x:v>200</x:v>
      </x:c>
      <x:c r="V88" s="58" t="str">
        <x:v>Permite</x:v>
      </x:c>
      <x:c r="W88" s="64" t="str">
        <x:v>https://fronterasurfestival.com/</x:v>
      </x:c>
      <x:c r="X88" s="62" t="n">
        <x:v>46271.05870978009</x:v>
      </x:c>
      <x:c r="Y88" s="58" t="str">
        <x:v>0 objetos Event JSON-LD | /</x:v>
      </x:c>
    </x:row>
    <x:row r="89" ht="42" customHeight="1">
      <x:c r="A89" s="9" t="str">
        <x:v>CL-FUE-0088</x:v>
      </x:c>
      <x:c r="B89" s="7" t="str">
        <x:v>Teatro Municipal de Temuco</x:v>
      </x:c>
      <x:c r="C89" s="7" t="str">
        <x:v>Municipalidad de Temuco</x:v>
      </x:c>
      <x:c r="D89" s="7" t="str">
        <x:v>Teatro municipal</x:v>
      </x:c>
      <x:c r="E89" s="7" t="str">
        <x:v>Regional</x:v>
      </x:c>
      <x:c r="F89" s="7" t="str">
        <x:v>Región de La Araucanía</x:v>
      </x:c>
      <x:c r="G89" s="7" t="str">
        <x:v>Temuco</x:v>
      </x:c>
      <x:c r="H89" s="7" t="str">
        <x:v>Teatro; Música; Danza</x:v>
      </x:c>
      <x:c r="I89" s="7" t="str">
        <x:v>Cartelera</x:v>
      </x:c>
      <x:c r="J89" s="10" t="str">
        <x:v>https://ww2.teatromunicipaltemuco.cl/</x:v>
      </x:c>
      <x:c r="K89" s="10" t="str">
        <x:v>https://ww2.teatromunicipaltemuco.cl/</x:v>
      </x:c>
      <x:c r="L89" s="7" t="str">
        <x:v>Candidata verificada</x:v>
      </x:c>
      <x:c r="M89" s="7" t="str">
        <x:v>Sí</x:v>
      </x:c>
      <x:c r="N89" s="7" t="str">
        <x:v>Alta</x:v>
      </x:c>
      <x:c r="O89" s="7" t="str">
        <x:v>HTML</x:v>
      </x:c>
      <x:c r="P89" s="8" t="n">
        <x:v>46270.666666666664</x:v>
      </x:c>
      <x:c r="Q89" s="7" t="str">
        <x:v>Fuente digital recurrente; validar términos, paginación y estabilidad antes de integrarla.</x:v>
      </x:c>
      <x:c r="R89" s="58" t="str">
        <x:v>Aprobada técnicamente</x:v>
      </x:c>
      <x:c r="S89" s="60" t="n">
        <x:v>91</x:v>
      </x:c>
      <x:c r="T89" s="58" t="str">
        <x:v>alta</x:v>
      </x:c>
      <x:c r="U89" s="60" t="n">
        <x:v>200</x:v>
      </x:c>
      <x:c r="V89" s="58" t="str">
        <x:v>Permite</x:v>
      </x:c>
      <x:c r="W89" s="64" t="str">
        <x:v>https://ww2.teatromunicipaltemuco.cl/</x:v>
      </x:c>
      <x:c r="X89" s="62" t="n">
        <x:v>46271.05871673611</x:v>
      </x:c>
      <x:c r="Y89" s="58" t="str">
        <x:v>0 objetos Event JSON-LD | /</x:v>
      </x:c>
    </x:row>
    <x:row r="90" ht="42" customHeight="1">
      <x:c r="A90" s="9" t="str">
        <x:v>CL-FUE-0089</x:v>
      </x:c>
      <x:c r="B90" s="7" t="str">
        <x:v>Corporación Cultural de Temuco</x:v>
      </x:c>
      <x:c r="C90" s="7" t="str">
        <x:v>Municipalidad de Temuco</x:v>
      </x:c>
      <x:c r="D90" s="7" t="str">
        <x:v>Agenda municipal</x:v>
      </x:c>
      <x:c r="E90" s="7" t="str">
        <x:v>Regional/comunal</x:v>
      </x:c>
      <x:c r="F90" s="7" t="str">
        <x:v>Región de La Araucanía</x:v>
      </x:c>
      <x:c r="G90" s="7" t="str">
        <x:v>Temuco</x:v>
      </x:c>
      <x:c r="H90" s="7" t="str">
        <x:v>Multidisciplinario; Cultura mapuche</x:v>
      </x:c>
      <x:c r="I90" s="7" t="str">
        <x:v>Portal institucional</x:v>
      </x:c>
      <x:c r="J90" s="10" t="str">
        <x:v>https://www.temuco.cl/</x:v>
      </x:c>
      <x:c r="K90" s="10" t="str">
        <x:v>https://www.temuco.cl/</x:v>
      </x:c>
      <x:c r="L90" s="7" t="str">
        <x:v>Candidata verificada</x:v>
      </x:c>
      <x:c r="M90" s="7" t="str">
        <x:v>Sí</x:v>
      </x:c>
      <x:c r="N90" s="7" t="str">
        <x:v>Media</x:v>
      </x:c>
      <x:c r="O90" s="7" t="str">
        <x:v>HTML</x:v>
      </x:c>
      <x:c r="P90" s="8" t="n">
        <x:v>46270.666666666664</x:v>
      </x:c>
      <x:c r="Q90" s="7" t="str">
        <x:v>Fuente digital recurrente; validar términos, paginación y estabilidad antes de integrarla.</x:v>
      </x:c>
      <x:c r="R90" s="58" t="str">
        <x:v>Aprobada técnicamente</x:v>
      </x:c>
      <x:c r="S90" s="60" t="n">
        <x:v>74</x:v>
      </x:c>
      <x:c r="T90" s="58" t="str">
        <x:v>media</x:v>
      </x:c>
      <x:c r="U90" s="60" t="n">
        <x:v>200</x:v>
      </x:c>
      <x:c r="V90" s="58" t="str">
        <x:v>Permite</x:v>
      </x:c>
      <x:c r="W90" s="64" t="str">
        <x:v>https://www.temuco.cl/</x:v>
      </x:c>
      <x:c r="X90" s="62" t="n">
        <x:v>46271.05873655093</x:v>
      </x:c>
      <x:c r="Y90" s="58" t="str">
        <x:v>0 objetos Event JSON-LD | 1 enlaces | /</x:v>
      </x:c>
    </x:row>
    <x:row r="91" ht="42" customHeight="1">
      <x:c r="A91" s="9" t="str">
        <x:v>CL-FUE-0090</x:v>
      </x:c>
      <x:c r="B91" s="7" t="str">
        <x:v>Museo Nacional Ferroviario Pablo Neruda</x:v>
      </x:c>
      <x:c r="C91" s="7" t="str">
        <x:v>Municipalidad de Temuco</x:v>
      </x:c>
      <x:c r="D91" s="7" t="str">
        <x:v>Museo</x:v>
      </x:c>
      <x:c r="E91" s="7" t="str">
        <x:v>Regional/nacional</x:v>
      </x:c>
      <x:c r="F91" s="7" t="str">
        <x:v>Región de La Araucanía</x:v>
      </x:c>
      <x:c r="G91" s="7" t="str">
        <x:v>Temuco</x:v>
      </x:c>
      <x:c r="H91" s="7" t="str">
        <x:v>Patrimonio; Museos; Literatura</x:v>
      </x:c>
      <x:c r="I91" s="7" t="str">
        <x:v>Actividades</x:v>
      </x:c>
      <x:c r="J91" s="10" t="str">
        <x:v>https://www.museoferroviariotemuco.cl/</x:v>
      </x:c>
      <x:c r="K91" s="10" t="str">
        <x:v>https://www.museoferroviariotemuco.cl/</x:v>
      </x:c>
      <x:c r="L91" s="7" t="str">
        <x:v>Candidata verificada</x:v>
      </x:c>
      <x:c r="M91" s="7" t="str">
        <x:v>Sí</x:v>
      </x:c>
      <x:c r="N91" s="7" t="str">
        <x:v>Media</x:v>
      </x:c>
      <x:c r="O91" s="7" t="str">
        <x:v>HTML</x:v>
      </x:c>
      <x:c r="P91" s="8" t="n">
        <x:v>46270.666666666664</x:v>
      </x:c>
      <x:c r="Q91" s="7" t="str">
        <x:v>Fuente digital recurrente; validar términos, paginación y estabilidad antes de integrarla.</x:v>
      </x:c>
      <x:c r="R91" s="58" t="str">
        <x:v>Revisión manual</x:v>
      </x:c>
      <x:c r="S91" s="60" t="n">
        <x:v>74</x:v>
      </x:c>
      <x:c r="T91" s="58" t="str">
        <x:v>media</x:v>
      </x:c>
      <x:c r="U91" s="60" t="n">
        <x:v>200</x:v>
      </x:c>
      <x:c r="V91" s="58" t="str">
        <x:v>Permite</x:v>
      </x:c>
      <x:c r="W91" s="64" t="str">
        <x:v>https://museoferroviariotemuco.cl/</x:v>
      </x:c>
      <x:c r="X91" s="62" t="n">
        <x:v>46271.058763657406</x:v>
      </x:c>
      <x:c r="Y91" s="58" t="str">
        <x:v>actividades | 0 objetos Event JSON-LD | 0 enlaces</x:v>
      </x:c>
    </x:row>
    <x:row r="92" ht="42" customHeight="1">
      <x:c r="A92" s="9" t="str">
        <x:v>CL-FUE-0091</x:v>
      </x:c>
      <x:c r="B92" s="7" t="str">
        <x:v>Corporación Cultural Municipal de Valdivia</x:v>
      </x:c>
      <x:c r="C92" s="7" t="str">
        <x:v>Municipalidad de Valdivia</x:v>
      </x:c>
      <x:c r="D92" s="7" t="str">
        <x:v>Agenda municipal</x:v>
      </x:c>
      <x:c r="E92" s="7" t="str">
        <x:v>Regional/comunal</x:v>
      </x:c>
      <x:c r="F92" s="7" t="str">
        <x:v>Región de Los Ríos</x:v>
      </x:c>
      <x:c r="G92" s="7" t="str">
        <x:v>Valdivia</x:v>
      </x:c>
      <x:c r="H92" s="7" t="str">
        <x:v>Multidisciplinario</x:v>
      </x:c>
      <x:c r="I92" s="7" t="str">
        <x:v>Agenda</x:v>
      </x:c>
      <x:c r="J92" s="10" t="str">
        <x:v>https://ccm-valdivia.cl/</x:v>
      </x:c>
      <x:c r="K92" s="10" t="str">
        <x:v>https://ccm-valdivia.cl/</x:v>
      </x:c>
      <x:c r="L92" s="7" t="str">
        <x:v>Candidata verificada</x:v>
      </x:c>
      <x:c r="M92" s="7" t="str">
        <x:v>Sí</x:v>
      </x:c>
      <x:c r="N92" s="7" t="str">
        <x:v>Alta</x:v>
      </x:c>
      <x:c r="O92" s="7" t="str">
        <x:v>HTML</x:v>
      </x:c>
      <x:c r="P92" s="8" t="n">
        <x:v>46270.666666666664</x:v>
      </x:c>
      <x:c r="Q92" s="7" t="str">
        <x:v>Fuente digital recurrente; validar términos, paginación y estabilidad antes de integrarla.</x:v>
      </x:c>
      <x:c r="R92" s="58" t="str">
        <x:v>Aprobada técnicamente</x:v>
      </x:c>
      <x:c r="S92" s="60" t="n">
        <x:v>87</x:v>
      </x:c>
      <x:c r="T92" s="58" t="str">
        <x:v>alta</x:v>
      </x:c>
      <x:c r="U92" s="60" t="n">
        <x:v>200</x:v>
      </x:c>
      <x:c r="V92" s="58" t="str">
        <x:v>Sin dato</x:v>
      </x:c>
      <x:c r="W92" s="64" t="str">
        <x:v>https://www.ccm-valdivia.cl/webccm/</x:v>
      </x:c>
      <x:c r="X92" s="62" t="n">
        <x:v>46271.05873476852</x:v>
      </x:c>
      <x:c r="Y92" s="58" t="str">
        <x:v>0 objetos Event JSON-LD | 0 enlaces | /webccm/</x:v>
      </x:c>
    </x:row>
    <x:row r="93" ht="42" customHeight="1">
      <x:c r="A93" s="9" t="str">
        <x:v>CL-FUE-0092</x:v>
      </x:c>
      <x:c r="B93" s="7" t="str">
        <x:v>Festival Internacional de Cine de Valdivia</x:v>
      </x:c>
      <x:c r="C93" s="7" t="str">
        <x:v>Centro Cultural de Promoción Cinematográfica de Valdivia</x:v>
      </x:c>
      <x:c r="D93" s="7" t="str">
        <x:v>Festival</x:v>
      </x:c>
      <x:c r="E93" s="7" t="str">
        <x:v>Nacional/internacional</x:v>
      </x:c>
      <x:c r="F93" s="7" t="str">
        <x:v>Región de Los Ríos</x:v>
      </x:c>
      <x:c r="G93" s="7" t="str">
        <x:v>Valdivia</x:v>
      </x:c>
      <x:c r="H93" s="7" t="str">
        <x:v>Cine; Audiovisual</x:v>
      </x:c>
      <x:c r="I93" s="7" t="str">
        <x:v>Programación</x:v>
      </x:c>
      <x:c r="J93" s="10" t="str">
        <x:v>https://ficvaldivia.cl/</x:v>
      </x:c>
      <x:c r="K93" s="10" t="str">
        <x:v>https://ficvaldivia.cl/</x:v>
      </x:c>
      <x:c r="L93" s="7" t="str">
        <x:v>Candidata verificada</x:v>
      </x:c>
      <x:c r="M93" s="7" t="str">
        <x:v>Sí</x:v>
      </x:c>
      <x:c r="N93" s="7" t="str">
        <x:v>Alta</x:v>
      </x:c>
      <x:c r="O93" s="7" t="str">
        <x:v>HTML</x:v>
      </x:c>
      <x:c r="P93" s="8" t="n">
        <x:v>46270.666666666664</x:v>
      </x:c>
      <x:c r="Q93" s="7" t="str">
        <x:v>Fuente digital recurrente; validar términos, paginación y estabilidad antes de integrarla.</x:v>
      </x:c>
      <x:c r="R93" s="58" t="str">
        <x:v>Aprobada técnicamente</x:v>
      </x:c>
      <x:c r="S93" s="60" t="n">
        <x:v>90</x:v>
      </x:c>
      <x:c r="T93" s="58" t="str">
        <x:v>alta</x:v>
      </x:c>
      <x:c r="U93" s="60" t="n">
        <x:v>200</x:v>
      </x:c>
      <x:c r="V93" s="58" t="str">
        <x:v>Permite</x:v>
      </x:c>
      <x:c r="W93" s="64" t="str">
        <x:v>https://ficvaldivia.cl/</x:v>
      </x:c>
      <x:c r="X93" s="62" t="n">
        <x:v>46271.05873415509</x:v>
      </x:c>
      <x:c r="Y93" s="58" t="str">
        <x:v>0 objetos Event JSON-LD | /</x:v>
      </x:c>
    </x:row>
    <x:row r="94" ht="42" customHeight="1">
      <x:c r="A94" s="9" t="str">
        <x:v>CL-FUE-0093</x:v>
      </x:c>
      <x:c r="B94" s="7" t="str">
        <x:v>Museo de Arte Contemporáneo Valdivia</x:v>
      </x:c>
      <x:c r="C94" s="7" t="str">
        <x:v>Universidad Austral de Chile</x:v>
      </x:c>
      <x:c r="D94" s="7" t="str">
        <x:v>Museo</x:v>
      </x:c>
      <x:c r="E94" s="7" t="str">
        <x:v>Regional/nacional</x:v>
      </x:c>
      <x:c r="F94" s="7" t="str">
        <x:v>Región de Los Ríos</x:v>
      </x:c>
      <x:c r="G94" s="7" t="str">
        <x:v>Valdivia</x:v>
      </x:c>
      <x:c r="H94" s="7" t="str">
        <x:v>Arte contemporáneo; Exposiciones</x:v>
      </x:c>
      <x:c r="I94" s="7" t="str">
        <x:v>Programación</x:v>
      </x:c>
      <x:c r="J94" s="10" t="str">
        <x:v>https://macvaldivia.cl/</x:v>
      </x:c>
      <x:c r="K94" s="10" t="str">
        <x:v>https://macvaldivia.cl/</x:v>
      </x:c>
      <x:c r="L94" s="7" t="str">
        <x:v>Candidata verificada</x:v>
      </x:c>
      <x:c r="M94" s="7" t="str">
        <x:v>Sí</x:v>
      </x:c>
      <x:c r="N94" s="7" t="str">
        <x:v>Media</x:v>
      </x:c>
      <x:c r="O94" s="7" t="str">
        <x:v>HTML</x:v>
      </x:c>
      <x:c r="P94" s="8" t="n">
        <x:v>46270.666666666664</x:v>
      </x:c>
      <x:c r="Q94" s="7" t="str">
        <x:v>Fuente digital recurrente; validar términos, paginación y estabilidad antes de integrarla.</x:v>
      </x:c>
      <x:c r="R94" s="58" t="str">
        <x:v>Revisión manual</x:v>
      </x:c>
      <x:c r="S94" s="60" t="n">
        <x:v>28</x:v>
      </x:c>
      <x:c r="T94" s="58" t="str">
        <x:v>media</x:v>
      </x:c>
      <x:c r="U94" s="60"/>
      <x:c r="V94" s="58" t="str">
        <x:v>Sin dato</x:v>
      </x:c>
      <x:c r="W94" s="64" t="str"/>
      <x:c r="X94" s="62" t="n">
        <x:v>46271.05872170139</x:v>
      </x:c>
      <x:c r="Y94" s="58" t="str">
        <x:v>error_tls: HTTPSConnectionPool(host='macvaldivia.cl', port=443): Max retries exceeded with url: / (Caused by SSLError(SSLCertVerificationError(1, '[SSL: CERTIFICATE_VERIFY_FAILED] certificate verify failed: certificate has expired (_ssl.c:1082)'))) | sin Content-Type | sin términos de agenda</x:v>
      </x:c>
    </x:row>
    <x:row r="95" ht="42" customHeight="1">
      <x:c r="A95" s="9" t="str">
        <x:v>CL-FUE-0094</x:v>
      </x:c>
      <x:c r="B95" s="7" t="str">
        <x:v>Cultura Puerto Montt</x:v>
      </x:c>
      <x:c r="C95" s="7" t="str">
        <x:v>Corporación Cultural de Puerto Montt</x:v>
      </x:c>
      <x:c r="D95" s="7" t="str">
        <x:v>Agenda municipal</x:v>
      </x:c>
      <x:c r="E95" s="7" t="str">
        <x:v>Regional/comunal</x:v>
      </x:c>
      <x:c r="F95" s="7" t="str">
        <x:v>Región de Los Lagos</x:v>
      </x:c>
      <x:c r="G95" s="7" t="str">
        <x:v>Puerto Montt</x:v>
      </x:c>
      <x:c r="H95" s="7" t="str">
        <x:v>Multidisciplinario</x:v>
      </x:c>
      <x:c r="I95" s="7" t="str">
        <x:v>Agenda</x:v>
      </x:c>
      <x:c r="J95" s="10" t="str">
        <x:v>https://www.culturapuertomontt.cl/</x:v>
      </x:c>
      <x:c r="K95" s="10" t="str">
        <x:v>https://www.culturapuertomontt.cl/</x:v>
      </x:c>
      <x:c r="L95" s="7" t="str">
        <x:v>Candidata verificada</x:v>
      </x:c>
      <x:c r="M95" s="7" t="str">
        <x:v>Sí</x:v>
      </x:c>
      <x:c r="N95" s="7" t="str">
        <x:v>Alta</x:v>
      </x:c>
      <x:c r="O95" s="7" t="str">
        <x:v>HTML</x:v>
      </x:c>
      <x:c r="P95" s="8" t="n">
        <x:v>46270.666666666664</x:v>
      </x:c>
      <x:c r="Q95" s="7" t="str">
        <x:v>Fuente digital recurrente; validar términos, paginación y estabilidad antes de integrarla.</x:v>
      </x:c>
      <x:c r="R95" s="58" t="str">
        <x:v>Revisión manual</x:v>
      </x:c>
      <x:c r="S95" s="60" t="n">
        <x:v>68</x:v>
      </x:c>
      <x:c r="T95" s="58" t="str">
        <x:v>media</x:v>
      </x:c>
      <x:c r="U95" s="60" t="n">
        <x:v>200</x:v>
      </x:c>
      <x:c r="V95" s="58" t="str">
        <x:v>Sin dato</x:v>
      </x:c>
      <x:c r="W95" s="64" t="str">
        <x:v>https://www.culturapuertomontt.cl/</x:v>
      </x:c>
      <x:c r="X95" s="62" t="n">
        <x:v>46271.05877332176</x:v>
      </x:c>
      <x:c r="Y95" s="58" t="str">
        <x:v>horario | 0 objetos Event JSON-LD | 0 enlaces</x:v>
      </x:c>
    </x:row>
    <x:row r="96" ht="42" customHeight="1">
      <x:c r="A96" s="9" t="str">
        <x:v>CL-FUE-0095</x:v>
      </x:c>
      <x:c r="B96" s="7" t="str">
        <x:v>Teatro Diego Rivera</x:v>
      </x:c>
      <x:c r="C96" s="7" t="str">
        <x:v>Corporación Cultural de Puerto Montt</x:v>
      </x:c>
      <x:c r="D96" s="7" t="str">
        <x:v>Teatro/centro cultural</x:v>
      </x:c>
      <x:c r="E96" s="7" t="str">
        <x:v>Regional</x:v>
      </x:c>
      <x:c r="F96" s="7" t="str">
        <x:v>Región de Los Lagos</x:v>
      </x:c>
      <x:c r="G96" s="7" t="str">
        <x:v>Puerto Montt</x:v>
      </x:c>
      <x:c r="H96" s="7" t="str">
        <x:v>Teatro; Música; Cine; Artes</x:v>
      </x:c>
      <x:c r="I96" s="7" t="str">
        <x:v>Cartelera</x:v>
      </x:c>
      <x:c r="J96" s="10" t="str">
        <x:v>https://www.culturapuertomontt.cl/</x:v>
      </x:c>
      <x:c r="K96" s="10" t="str">
        <x:v>https://www.culturapuertomontt.cl/</x:v>
      </x:c>
      <x:c r="L96" s="7" t="str">
        <x:v>Candidata verificada</x:v>
      </x:c>
      <x:c r="M96" s="7" t="str">
        <x:v>Sí</x:v>
      </x:c>
      <x:c r="N96" s="7" t="str">
        <x:v>Alta</x:v>
      </x:c>
      <x:c r="O96" s="7" t="str">
        <x:v>HTML</x:v>
      </x:c>
      <x:c r="P96" s="8" t="n">
        <x:v>46270.666666666664</x:v>
      </x:c>
      <x:c r="Q96" s="7" t="str">
        <x:v>Fuente digital recurrente; validar términos, paginación y estabilidad antes de integrarla.</x:v>
      </x:c>
      <x:c r="R96" s="58" t="str">
        <x:v>Revisión manual</x:v>
      </x:c>
      <x:c r="S96" s="60" t="n">
        <x:v>76</x:v>
      </x:c>
      <x:c r="T96" s="58" t="str">
        <x:v>media</x:v>
      </x:c>
      <x:c r="U96" s="60" t="n">
        <x:v>200</x:v>
      </x:c>
      <x:c r="V96" s="58" t="str">
        <x:v>Sin dato</x:v>
      </x:c>
      <x:c r="W96" s="64" t="str">
        <x:v>https://www.culturapuertomontt.cl/</x:v>
      </x:c>
      <x:c r="X96" s="62" t="n">
        <x:v>46271.05879408565</x:v>
      </x:c>
      <x:c r="Y96" s="58" t="str">
        <x:v>horario | 0 objetos Event JSON-LD | 0 enlaces</x:v>
      </x:c>
    </x:row>
    <x:row r="97" ht="42" customHeight="1">
      <x:c r="A97" s="9" t="str">
        <x:v>CL-FUE-0096</x:v>
      </x:c>
      <x:c r="B97" s="7" t="str">
        <x:v>Centro de Arte Molino Machmar</x:v>
      </x:c>
      <x:c r="C97" s="7" t="str">
        <x:v>Corporación Centro de Arte Molino Machmar</x:v>
      </x:c>
      <x:c r="D97" s="7" t="str">
        <x:v>Centro cultural</x:v>
      </x:c>
      <x:c r="E97" s="7" t="str">
        <x:v>Regional</x:v>
      </x:c>
      <x:c r="F97" s="7" t="str">
        <x:v>Región de Los Lagos</x:v>
      </x:c>
      <x:c r="G97" s="7" t="str">
        <x:v>Puerto Varas</x:v>
      </x:c>
      <x:c r="H97" s="7" t="str">
        <x:v>Artes visuales; Música; Teatro; Patrimonio; Literatura</x:v>
      </x:c>
      <x:c r="I97" s="7" t="str">
        <x:v>Cartelera</x:v>
      </x:c>
      <x:c r="J97" s="10" t="str">
        <x:v>https://www.molinomachmar.cl/cartelera/</x:v>
      </x:c>
      <x:c r="K97" s="10" t="str">
        <x:v>https://www.molinomachmar.cl/</x:v>
      </x:c>
      <x:c r="L97" s="7" t="str">
        <x:v>Integrada operativa</x:v>
      </x:c>
      <x:c r="M97" s="7" t="str">
        <x:v>Sí</x:v>
      </x:c>
      <x:c r="N97" s="7" t="str">
        <x:v>Alta</x:v>
      </x:c>
      <x:c r="O97" s="7" t="str">
        <x:v>html_cards</x:v>
      </x:c>
      <x:c r="P97" s="8" t="n">
        <x:v>46285.625</x:v>
      </x:c>
      <x:c r="Q97" s="7" t="str">
        <x:v>Extracción real verificada: cinco eventos vigentes y fichas institucionales accesibles.</x:v>
      </x:c>
      <x:c r="R97" s="58" t="str">
        <x:v>Aprobada técnicamente</x:v>
      </x:c>
      <x:c r="S97" s="60" t="n">
        <x:v>99</x:v>
      </x:c>
      <x:c r="T97" s="58" t="str">
        <x:v>alta</x:v>
      </x:c>
      <x:c r="U97" s="60" t="n">
        <x:v>200</x:v>
      </x:c>
      <x:c r="V97" s="58" t="str">
        <x:v>Permite</x:v>
      </x:c>
      <x:c r="W97" s="64" t="str">
        <x:v>https://www.molinomachmar.cl/cartelera/</x:v>
      </x:c>
      <x:c r="X97" s="62" t="n">
        <x:v>46285.625</x:v>
      </x:c>
      <x:c r="Y97" s="58" t="str">
        <x:v>Operativa: cartelera estructurada con fechas, categorías, imágenes y enlaces oficiales.</x:v>
      </x:c>
    </x:row>
    <x:row r="98" ht="42" customHeight="1">
      <x:c r="A98" s="9" t="str">
        <x:v>CL-FUE-0097</x:v>
      </x:c>
      <x:c r="B98" s="7" t="str">
        <x:v>Corporación Cultural de Osorno</x:v>
      </x:c>
      <x:c r="C98" s="7" t="str">
        <x:v>Municipalidad de Osorno</x:v>
      </x:c>
      <x:c r="D98" s="7" t="str">
        <x:v>Agenda municipal</x:v>
      </x:c>
      <x:c r="E98" s="7" t="str">
        <x:v>Regional/comunal</x:v>
      </x:c>
      <x:c r="F98" s="7" t="str">
        <x:v>Región de Los Lagos</x:v>
      </x:c>
      <x:c r="G98" s="7" t="str">
        <x:v>Osorno</x:v>
      </x:c>
      <x:c r="H98" s="7" t="str">
        <x:v>Multidisciplinario</x:v>
      </x:c>
      <x:c r="I98" s="7" t="str">
        <x:v>Agenda</x:v>
      </x:c>
      <x:c r="J98" s="10" t="str">
        <x:v>https://www.corporacionculturalosorno.cl/</x:v>
      </x:c>
      <x:c r="K98" s="10" t="str">
        <x:v>https://www.corporacionculturalosorno.cl/</x:v>
      </x:c>
      <x:c r="L98" s="7" t="str">
        <x:v>Candidata verificada</x:v>
      </x:c>
      <x:c r="M98" s="7" t="str">
        <x:v>Sí</x:v>
      </x:c>
      <x:c r="N98" s="7" t="str">
        <x:v>Media</x:v>
      </x:c>
      <x:c r="O98" s="7" t="str">
        <x:v>HTML</x:v>
      </x:c>
      <x:c r="P98" s="8" t="n">
        <x:v>46270.666666666664</x:v>
      </x:c>
      <x:c r="Q98" s="7" t="str">
        <x:v>Fuente digital recurrente; validar términos, paginación y estabilidad antes de integrarla.</x:v>
      </x:c>
      <x:c r="R98" s="58" t="str">
        <x:v>Revisión manual</x:v>
      </x:c>
      <x:c r="S98" s="60" t="n">
        <x:v>24</x:v>
      </x:c>
      <x:c r="T98" s="58" t="str">
        <x:v>media</x:v>
      </x:c>
      <x:c r="U98" s="60"/>
      <x:c r="V98" s="58" t="str">
        <x:v>Sin dato</x:v>
      </x:c>
      <x:c r="W98" s="64" t="str"/>
      <x:c r="X98" s="62" t="n">
        <x:v>46271.058737210646</x:v>
      </x:c>
      <x:c r="Y98" s="58" t="str">
        <x:v>error_red: HTTPSConnectionPool(host='www.corporacionculturalosorno.cl', port=443): Max retries exceeded with url: / (Caused by NameResolutionError("HTTPSConnection(host='www.corporacionculturalosorno.cl', port=443): Failed to resolve 'www.corporacionc | sin Content-Type | cultural</x:v>
      </x:c>
    </x:row>
    <x:row r="99" ht="42" customHeight="1">
      <x:c r="A99" s="9" t="str">
        <x:v>CL-FUE-0098</x:v>
      </x:c>
      <x:c r="B99" s="7" t="str">
        <x:v>Festival Internacional de Teatro Itinerante por Chiloé Profundo</x:v>
      </x:c>
      <x:c r="C99" s="7" t="str">
        <x:v>FITICH</x:v>
      </x:c>
      <x:c r="D99" s="7" t="str">
        <x:v>Festival</x:v>
      </x:c>
      <x:c r="E99" s="7" t="str">
        <x:v>Regional/internacional</x:v>
      </x:c>
      <x:c r="F99" s="7" t="str">
        <x:v>Región de Los Lagos</x:v>
      </x:c>
      <x:c r="G99" s="7" t="str">
        <x:v>Chiloé</x:v>
      </x:c>
      <x:c r="H99" s="7" t="str">
        <x:v>Teatro; Artes escénicas</x:v>
      </x:c>
      <x:c r="I99" s="7" t="str">
        <x:v>Programación</x:v>
      </x:c>
      <x:c r="J99" s="10" t="str">
        <x:v>https://fitich.cl/</x:v>
      </x:c>
      <x:c r="K99" s="10" t="str">
        <x:v>https://fitich.cl/</x:v>
      </x:c>
      <x:c r="L99" s="7" t="str">
        <x:v>Candidata verificada</x:v>
      </x:c>
      <x:c r="M99" s="7" t="str">
        <x:v>Sí</x:v>
      </x:c>
      <x:c r="N99" s="7" t="str">
        <x:v>Media</x:v>
      </x:c>
      <x:c r="O99" s="7" t="str">
        <x:v>HTML</x:v>
      </x:c>
      <x:c r="P99" s="8" t="n">
        <x:v>46270.666666666664</x:v>
      </x:c>
      <x:c r="Q99" s="7" t="str">
        <x:v>Fuente digital recurrente; validar términos, paginación y estabilidad antes de integrarla.</x:v>
      </x:c>
      <x:c r="R99" s="58" t="str">
        <x:v>Revisión manual</x:v>
      </x:c>
      <x:c r="S99" s="60" t="n">
        <x:v>57</x:v>
      </x:c>
      <x:c r="T99" s="58" t="str">
        <x:v>media</x:v>
      </x:c>
      <x:c r="U99" s="60" t="n">
        <x:v>200</x:v>
      </x:c>
      <x:c r="V99" s="58" t="str">
        <x:v>Sin dato</x:v>
      </x:c>
      <x:c r="W99" s="64" t="str">
        <x:v>https://fitich.cl/</x:v>
      </x:c>
      <x:c r="X99" s="62" t="n">
        <x:v>46271.05882341435</x:v>
      </x:c>
      <x:c r="Y99" s="58" t="str">
        <x:v>sin términos de agenda | 0 objetos Event JSON-LD | 0 señales</x:v>
      </x:c>
    </x:row>
    <x:row r="100" ht="42" customHeight="1">
      <x:c r="A100" s="9" t="str">
        <x:v>CL-FUE-0099</x:v>
      </x:c>
      <x:c r="B100" s="7" t="str">
        <x:v>Corporación Cultural Municipal de Coyhaique</x:v>
      </x:c>
      <x:c r="C100" s="7" t="str">
        <x:v>Municipalidad de Coyhaique</x:v>
      </x:c>
      <x:c r="D100" s="7" t="str">
        <x:v>Agenda municipal</x:v>
      </x:c>
      <x:c r="E100" s="7" t="str">
        <x:v>Regional/comunal</x:v>
      </x:c>
      <x:c r="F100" s="7" t="str">
        <x:v>Región de Aysén del General Carlos Ibáñez del Campo</x:v>
      </x:c>
      <x:c r="G100" s="7" t="str">
        <x:v>Coyhaique</x:v>
      </x:c>
      <x:c r="H100" s="7" t="str">
        <x:v>Multidisciplinario</x:v>
      </x:c>
      <x:c r="I100" s="7" t="str">
        <x:v>Portal/redes</x:v>
      </x:c>
      <x:c r="J100" s="10" t="str">
        <x:v>https://www.coyhaique.cl/</x:v>
      </x:c>
      <x:c r="K100" s="10" t="str">
        <x:v>https://www.coyhaique.cl/</x:v>
      </x:c>
      <x:c r="L100" s="7" t="str">
        <x:v>Candidata verificada</x:v>
      </x:c>
      <x:c r="M100" s="7" t="str">
        <x:v>Sí</x:v>
      </x:c>
      <x:c r="N100" s="7" t="str">
        <x:v>Media</x:v>
      </x:c>
      <x:c r="O100" s="7" t="str">
        <x:v>HTML/redes</x:v>
      </x:c>
      <x:c r="P100" s="8" t="n">
        <x:v>46270.666666666664</x:v>
      </x:c>
      <x:c r="Q100" s="7" t="str">
        <x:v>Fuente digital recurrente; validar términos, paginación y estabilidad antes de integrarla.</x:v>
      </x:c>
      <x:c r="R100" s="58" t="str">
        <x:v>Revisión manual</x:v>
      </x:c>
      <x:c r="S100" s="60" t="n">
        <x:v>70</x:v>
      </x:c>
      <x:c r="T100" s="58" t="str">
        <x:v>media</x:v>
      </x:c>
      <x:c r="U100" s="60" t="n">
        <x:v>200</x:v>
      </x:c>
      <x:c r="V100" s="58" t="str">
        <x:v>Permite</x:v>
      </x:c>
      <x:c r="W100" s="64" t="str">
        <x:v>https://www.coyhaique.cl/</x:v>
      </x:c>
      <x:c r="X100" s="62" t="n">
        <x:v>46271.058764988426</x:v>
      </x:c>
      <x:c r="Y100" s="58" t="str">
        <x:v>cultural | 0 objetos Event JSON-LD | /</x:v>
      </x:c>
    </x:row>
    <x:row r="101" ht="42" customHeight="1">
      <x:c r="A101" s="9" t="str">
        <x:v>CL-FUE-0100</x:v>
      </x:c>
      <x:c r="B101" s="7" t="str">
        <x:v>Centro Cultural Coyhaique</x:v>
      </x:c>
      <x:c r="C101" s="7" t="str">
        <x:v>Municipalidad de Coyhaique</x:v>
      </x:c>
      <x:c r="D101" s="7" t="str">
        <x:v>Centro cultural</x:v>
      </x:c>
      <x:c r="E101" s="7" t="str">
        <x:v>Regional</x:v>
      </x:c>
      <x:c r="F101" s="7" t="str">
        <x:v>Región de Aysén del General Carlos Ibáñez del Campo</x:v>
      </x:c>
      <x:c r="G101" s="7" t="str">
        <x:v>Coyhaique</x:v>
      </x:c>
      <x:c r="H101" s="7" t="str">
        <x:v>Teatro; Música; Cine; Artes</x:v>
      </x:c>
      <x:c r="I101" s="7" t="str">
        <x:v>Cartelera/redes</x:v>
      </x:c>
      <x:c r="J101" s="10" t="str">
        <x:v>https://www.coyhaique.cl/</x:v>
      </x:c>
      <x:c r="K101" s="10" t="str">
        <x:v>https://www.coyhaique.cl/</x:v>
      </x:c>
      <x:c r="L101" s="7" t="str">
        <x:v>Candidata verificada</x:v>
      </x:c>
      <x:c r="M101" s="7" t="str">
        <x:v>Sí</x:v>
      </x:c>
      <x:c r="N101" s="7" t="str">
        <x:v>Media</x:v>
      </x:c>
      <x:c r="O101" s="7" t="str">
        <x:v>HTML/redes</x:v>
      </x:c>
      <x:c r="P101" s="8" t="n">
        <x:v>46270.666666666664</x:v>
      </x:c>
      <x:c r="Q101" s="7" t="str">
        <x:v>Fuente digital recurrente; validar términos, paginación y estabilidad antes de integrarla.</x:v>
      </x:c>
      <x:c r="R101" s="58" t="str">
        <x:v>Aprobada técnicamente</x:v>
      </x:c>
      <x:c r="S101" s="60" t="n">
        <x:v>86</x:v>
      </x:c>
      <x:c r="T101" s="58" t="str">
        <x:v>alta</x:v>
      </x:c>
      <x:c r="U101" s="60" t="n">
        <x:v>200</x:v>
      </x:c>
      <x:c r="V101" s="58" t="str">
        <x:v>Permite</x:v>
      </x:c>
      <x:c r="W101" s="64" t="str">
        <x:v>https://www.coyhaique.cl/</x:v>
      </x:c>
      <x:c r="X101" s="62" t="n">
        <x:v>46271.05878824074</x:v>
      </x:c>
      <x:c r="Y101" s="58" t="str">
        <x:v>0 objetos Event JSON-LD | /</x:v>
      </x:c>
    </x:row>
    <x:row r="102" ht="42" customHeight="1">
      <x:c r="A102" s="9" t="str">
        <x:v>CL-FUE-0101</x:v>
      </x:c>
      <x:c r="B102" s="7" t="str">
        <x:v>Red de Cultura Aysén</x:v>
      </x:c>
      <x:c r="C102" s="7" t="str">
        <x:v>Seremi de las Culturas de Aysén</x:v>
      </x:c>
      <x:c r="D102" s="7" t="str">
        <x:v>Red regional</x:v>
      </x:c>
      <x:c r="E102" s="7" t="str">
        <x:v>Regional</x:v>
      </x:c>
      <x:c r="F102" s="7" t="str">
        <x:v>Región de Aysén del General Carlos Ibáñez del Campo</x:v>
      </x:c>
      <x:c r="G102" s="7" t="str">
        <x:v>Varias</x:v>
      </x:c>
      <x:c r="H102" s="7" t="str">
        <x:v>Cultura comunitaria; Patrimonio; Artes</x:v>
      </x:c>
      <x:c r="I102" s="7" t="str">
        <x:v>Portal institucional</x:v>
      </x:c>
      <x:c r="J102" s="10" t="str">
        <x:v>https://www.cultura.gob.cl/aysen/</x:v>
      </x:c>
      <x:c r="K102" s="10" t="str">
        <x:v>https://www.cultura.gob.cl/aysen/</x:v>
      </x:c>
      <x:c r="L102" s="7" t="str">
        <x:v>Candidata verificada</x:v>
      </x:c>
      <x:c r="M102" s="7" t="str">
        <x:v>Sí</x:v>
      </x:c>
      <x:c r="N102" s="7" t="str">
        <x:v>Baja</x:v>
      </x:c>
      <x:c r="O102" s="7" t="str">
        <x:v>HTML</x:v>
      </x:c>
      <x:c r="P102" s="8" t="n">
        <x:v>46270.666666666664</x:v>
      </x:c>
      <x:c r="Q102" s="7" t="str">
        <x:v>Fuente digital recurrente; validar términos, paginación y estabilidad antes de integrarla.</x:v>
      </x:c>
      <x:c r="R102" s="58" t="str">
        <x:v>Aprobada técnicamente</x:v>
      </x:c>
      <x:c r="S102" s="60" t="n">
        <x:v>81</x:v>
      </x:c>
      <x:c r="T102" s="58" t="str">
        <x:v>alta</x:v>
      </x:c>
      <x:c r="U102" s="60" t="n">
        <x:v>200</x:v>
      </x:c>
      <x:c r="V102" s="58" t="str">
        <x:v>Permite</x:v>
      </x:c>
      <x:c r="W102" s="64" t="str">
        <x:v>https://www.cultura.gob.cl/aysen/</x:v>
      </x:c>
      <x:c r="X102" s="62" t="n">
        <x:v>46271.058774502315</x:v>
      </x:c>
      <x:c r="Y102" s="58" t="str">
        <x:v>0 objetos Event JSON-LD | 0 enlaces | /aysen/</x:v>
      </x:c>
    </x:row>
    <x:row r="103" ht="42" customHeight="1">
      <x:c r="A103" s="9" t="str">
        <x:v>CL-FUE-0102</x:v>
      </x:c>
      <x:c r="B103" s="7" t="str">
        <x:v>Fundación Cultural Punta Arenas</x:v>
      </x:c>
      <x:c r="C103" s="7" t="str">
        <x:v>Municipalidad de Punta Arenas</x:v>
      </x:c>
      <x:c r="D103" s="7" t="str">
        <x:v>Agenda municipal</x:v>
      </x:c>
      <x:c r="E103" s="7" t="str">
        <x:v>Regional/comunal</x:v>
      </x:c>
      <x:c r="F103" s="7" t="str">
        <x:v>Región de Magallanes y de la Antártica Chilena</x:v>
      </x:c>
      <x:c r="G103" s="7" t="str">
        <x:v>Punta Arenas</x:v>
      </x:c>
      <x:c r="H103" s="7" t="str">
        <x:v>Multidisciplinario; Patrimonio</x:v>
      </x:c>
      <x:c r="I103" s="7" t="str">
        <x:v>Cartelera</x:v>
      </x:c>
      <x:c r="J103" s="10" t="str">
        <x:v>https://culturapuntaarenas.cl/</x:v>
      </x:c>
      <x:c r="K103" s="10" t="str">
        <x:v>https://culturapuntaarenas.cl/</x:v>
      </x:c>
      <x:c r="L103" s="7" t="str">
        <x:v>Candidata verificada</x:v>
      </x:c>
      <x:c r="M103" s="7" t="str">
        <x:v>Sí</x:v>
      </x:c>
      <x:c r="N103" s="7" t="str">
        <x:v>Alta</x:v>
      </x:c>
      <x:c r="O103" s="7" t="str">
        <x:v>HTML</x:v>
      </x:c>
      <x:c r="P103" s="8" t="n">
        <x:v>46270.666666666664</x:v>
      </x:c>
      <x:c r="Q103" s="7" t="str">
        <x:v>Fuente digital recurrente; validar términos, paginación y estabilidad antes de integrarla.</x:v>
      </x:c>
      <x:c r="R103" s="58" t="str">
        <x:v>Revisión manual</x:v>
      </x:c>
      <x:c r="S103" s="60" t="n">
        <x:v>28</x:v>
      </x:c>
      <x:c r="T103" s="58" t="str">
        <x:v>media</x:v>
      </x:c>
      <x:c r="U103" s="60"/>
      <x:c r="V103" s="58" t="str">
        <x:v>Sin dato</x:v>
      </x:c>
      <x:c r="W103" s="64" t="str"/>
      <x:c r="X103" s="62" t="n">
        <x:v>46271.05876994213</x:v>
      </x:c>
      <x:c r="Y103" s="58" t="str">
        <x:v>error_red: HTTPSConnectionPool(host='culturapuntaarenas.cl', port=443): Max retries exceeded with url: / (Caused by NameResolutionError("HTTPSConnection(host='culturapuntaarenas.cl', port=443): Failed to resolve 'culturapuntaarenas.cl' ([Errno 11001]  | sin Content-Type | sin términos de agenda</x:v>
      </x:c>
    </x:row>
    <x:row r="104" ht="42" customHeight="1">
      <x:c r="A104" s="9" t="str">
        <x:v>CL-FUE-0103</x:v>
      </x:c>
      <x:c r="B104" s="7" t="str">
        <x:v>Centro Cultural Claudio Paredes Chamorro</x:v>
      </x:c>
      <x:c r="C104" s="7" t="str">
        <x:v>Municipalidad de Punta Arenas</x:v>
      </x:c>
      <x:c r="D104" s="7" t="str">
        <x:v>Centro cultural</x:v>
      </x:c>
      <x:c r="E104" s="7" t="str">
        <x:v>Regional</x:v>
      </x:c>
      <x:c r="F104" s="7" t="str">
        <x:v>Región de Magallanes y de la Antártica Chilena</x:v>
      </x:c>
      <x:c r="G104" s="7" t="str">
        <x:v>Punta Arenas</x:v>
      </x:c>
      <x:c r="H104" s="7" t="str">
        <x:v>Teatro; Música; Artes; Talleres</x:v>
      </x:c>
      <x:c r="I104" s="7" t="str">
        <x:v>Cartelera</x:v>
      </x:c>
      <x:c r="J104" s="10" t="str">
        <x:v>https://culturapuntaarenas.cl/</x:v>
      </x:c>
      <x:c r="K104" s="10" t="str">
        <x:v>https://culturapuntaarenas.cl/</x:v>
      </x:c>
      <x:c r="L104" s="7" t="str">
        <x:v>Candidata verificada</x:v>
      </x:c>
      <x:c r="M104" s="7" t="str">
        <x:v>Sí</x:v>
      </x:c>
      <x:c r="N104" s="7" t="str">
        <x:v>Media</x:v>
      </x:c>
      <x:c r="O104" s="7" t="str">
        <x:v>HTML</x:v>
      </x:c>
      <x:c r="P104" s="8" t="n">
        <x:v>46270.666666666664</x:v>
      </x:c>
      <x:c r="Q104" s="7" t="str">
        <x:v>Fuente digital recurrente; validar términos, paginación y estabilidad antes de integrarla.</x:v>
      </x:c>
      <x:c r="R104" s="58" t="str">
        <x:v>Revisión manual</x:v>
      </x:c>
      <x:c r="S104" s="60" t="n">
        <x:v>36</x:v>
      </x:c>
      <x:c r="T104" s="58" t="str">
        <x:v>media</x:v>
      </x:c>
      <x:c r="U104" s="60"/>
      <x:c r="V104" s="58" t="str">
        <x:v>Sin dato</x:v>
      </x:c>
      <x:c r="W104" s="64" t="str"/>
      <x:c r="X104" s="62" t="n">
        <x:v>46271.05876997685</x:v>
      </x:c>
      <x:c r="Y104" s="58" t="str">
        <x:v>error_red: HTTPSConnectionPool(host='culturapuntaarenas.cl', port=443): Max retries exceeded with url: / (Caused by NameResolutionError("HTTPSConnection(host='culturapuntaarenas.cl', port=443): Failed to resolve 'culturapuntaarenas.cl' ([Errno 11001]  | sin Content-Type | sin términos de agenda</x:v>
      </x:c>
    </x:row>
    <x:row r="105" ht="42" customHeight="1">
      <x:c r="A105" s="9" t="str">
        <x:v>CL-FUE-0104</x:v>
      </x:c>
      <x:c r="B105" s="7" t="str">
        <x:v>Festival de Cine Polo Sur Latinoamericano</x:v>
      </x:c>
      <x:c r="C105" s="7" t="str">
        <x:v>Agrupación Audiovisual Proa</x:v>
      </x:c>
      <x:c r="D105" s="7" t="str">
        <x:v>Festival</x:v>
      </x:c>
      <x:c r="E105" s="7" t="str">
        <x:v>Nacional/internacional</x:v>
      </x:c>
      <x:c r="F105" s="7" t="str">
        <x:v>Región de Magallanes y de la Antártica Chilena</x:v>
      </x:c>
      <x:c r="G105" s="7" t="str">
        <x:v>Punta Arenas</x:v>
      </x:c>
      <x:c r="H105" s="7" t="str">
        <x:v>Cine; Audiovisual</x:v>
      </x:c>
      <x:c r="I105" s="7" t="str">
        <x:v>Programación</x:v>
      </x:c>
      <x:c r="J105" s="10" t="str">
        <x:v>https://www.cinepolosur.cl/</x:v>
      </x:c>
      <x:c r="K105" s="10" t="str">
        <x:v>https://www.cinepolosur.cl/</x:v>
      </x:c>
      <x:c r="L105" s="7" t="str">
        <x:v>Candidata verificada</x:v>
      </x:c>
      <x:c r="M105" s="7" t="str">
        <x:v>Sí</x:v>
      </x:c>
      <x:c r="N105" s="7" t="str">
        <x:v>Media</x:v>
      </x:c>
      <x:c r="O105" s="7" t="str">
        <x:v>HTML</x:v>
      </x:c>
      <x:c r="P105" s="8" t="n">
        <x:v>46270.666666666664</x:v>
      </x:c>
      <x:c r="Q105" s="7" t="str">
        <x:v>Fuente digital recurrente; validar términos, paginación y estabilidad antes de integrarla.</x:v>
      </x:c>
      <x:c r="R105" s="58" t="str">
        <x:v>Revisión manual</x:v>
      </x:c>
      <x:c r="S105" s="60" t="n">
        <x:v>32</x:v>
      </x:c>
      <x:c r="T105" s="58" t="str">
        <x:v>media</x:v>
      </x:c>
      <x:c r="U105" s="60"/>
      <x:c r="V105" s="58" t="str">
        <x:v>Sin dato</x:v>
      </x:c>
      <x:c r="W105" s="64" t="str"/>
      <x:c r="X105" s="62" t="n">
        <x:v>46271.058773206016</x:v>
      </x:c>
      <x:c r="Y105" s="58" t="str">
        <x:v>error_red: HTTPSConnectionPool(host='www.cinepolosur.cl', port=443): Max retries exceeded with url: / (Caused by NameResolutionError("HTTPSConnection(host='www.cinepolosur.cl', port=443): Failed to resolve 'www.cinepolosur.cl' ([Errno 11001] getaddrin | sin Content-Type | sin términos de agenda</x:v>
      </x:c>
    </x:row>
    <x:row r="106" ht="42" customHeight="1">
      <x:c r="A106" s="9" t="str">
        <x:v>CL-FUE-0105</x:v>
      </x:c>
      <x:c r="B106" s="7" t="str">
        <x:v>Zava Café Arte</x:v>
      </x:c>
      <x:c r="C106" s="7" t="str">
        <x:v>Zava Café Arte</x:v>
      </x:c>
      <x:c r="D106" s="7" t="str">
        <x:v>Espacio cultural del directorio oficial</x:v>
      </x:c>
      <x:c r="E106" s="7" t="str">
        <x:v>Comunal/local</x:v>
      </x:c>
      <x:c r="F106" s="7" t="str">
        <x:v>Región de Arica y Parinacota</x:v>
      </x:c>
      <x:c r="G106" s="7" t="str">
        <x:v>Arica</x:v>
      </x:c>
      <x:c r="H106" s="7" t="str">
        <x:v>Artesanía; Artes visuales; Educación artística</x:v>
      </x:c>
      <x:c r="I106" s="7" t="str">
        <x:v>Canal digital por localizar</x:v>
      </x:c>
      <x:c r="J106" s="10" t="str"/>
      <x:c r="K106" s="10" t="str">
        <x:v>https://ciudadania.cultura.gob.cl/wp-content/uploads/2025/12/Directorio_Espacios-Culturales-2025_RC.pdf#page=5</x:v>
      </x:c>
      <x:c r="L106" s="7" t="str">
        <x:v>Referencia territorial</x:v>
      </x:c>
      <x:c r="M106" s="7" t="str">
        <x:v>No</x:v>
      </x:c>
      <x:c r="N106" s="7" t="str">
        <x:v>Baja</x:v>
      </x:c>
      <x:c r="O106" s="7" t="str">
        <x:v>Investigación manual</x:v>
      </x:c>
      <x:c r="P106" s="8" t="n">
        <x:v>46270.666666666664</x:v>
      </x:c>
      <x:c r="Q106" s="7" t="str">
        <x:v>Dirección OCR: Almirante Latorre 671, Arica. Ficha PDF p. 5.</x:v>
      </x:c>
      <x:c r="R106" s="58" t="str">
        <x:v>Referencia sin agenda</x:v>
      </x:c>
      <x:c r="S106" s="60" t="n">
        <x:v>0</x:v>
      </x:c>
      <x:c r="T106" s="58" t="str">
        <x:v>alta</x:v>
      </x:c>
      <x:c r="U106" s="60"/>
      <x:c r="V106" s="58" t="str">
        <x:v>Sin dato</x:v>
      </x:c>
      <x:c r="W106" s="64" t="str"/>
      <x:c r="X106" s="62" t="n">
        <x:v>46271.058773564815</x:v>
      </x:c>
      <x:c r="Y106" s="58" t="str">
        <x:v>No es todavía una fuente digital; conservar como pista territorial.</x:v>
      </x:c>
    </x:row>
    <x:row r="107" ht="42" customHeight="1">
      <x:c r="A107" s="9" t="str">
        <x:v>CL-FUE-0106</x:v>
      </x:c>
      <x:c r="B107" s="7" t="str">
        <x:v>Espacio Cultural Arganda</x:v>
      </x:c>
      <x:c r="C107" s="7" t="str">
        <x:v>Espacio Cultural Arganda</x:v>
      </x:c>
      <x:c r="D107" s="7" t="str">
        <x:v>Espacio cultural del directorio oficial</x:v>
      </x:c>
      <x:c r="E107" s="7" t="str">
        <x:v>Comunal/local</x:v>
      </x:c>
      <x:c r="F107" s="7" t="str">
        <x:v>Región de Arica y Parinacota</x:v>
      </x:c>
      <x:c r="G107" s="7" t="str">
        <x:v>Arica</x:v>
      </x:c>
      <x:c r="H107" s="7" t="str">
        <x:v>Multidisciplinario (por clasificar)</x:v>
      </x:c>
      <x:c r="I107" s="7" t="str">
        <x:v>Canal digital por localizar</x:v>
      </x:c>
      <x:c r="J107" s="10" t="str"/>
      <x:c r="K107" s="10" t="str">
        <x:v>https://ciudadania.cultura.gob.cl/wp-content/uploads/2025/12/Directorio_Espacios-Culturales-2025_RC.pdf#page=6</x:v>
      </x:c>
      <x:c r="L107" s="7" t="str">
        <x:v>Referencia territorial</x:v>
      </x:c>
      <x:c r="M107" s="7" t="str">
        <x:v>No</x:v>
      </x:c>
      <x:c r="N107" s="7" t="str">
        <x:v>Baja</x:v>
      </x:c>
      <x:c r="O107" s="7" t="str">
        <x:v>Investigación manual</x:v>
      </x:c>
      <x:c r="P107" s="8" t="n">
        <x:v>46270.666666666664</x:v>
      </x:c>
      <x:c r="Q107" s="7" t="str">
        <x:v>Dirección OCR: General Manuel Baquedano 25, Arica. Ficha PDF p. 6.</x:v>
      </x:c>
      <x:c r="R107" s="58" t="str">
        <x:v>Referencia sin agenda</x:v>
      </x:c>
      <x:c r="S107" s="60" t="n">
        <x:v>0</x:v>
      </x:c>
      <x:c r="T107" s="58" t="str">
        <x:v>alta</x:v>
      </x:c>
      <x:c r="U107" s="60"/>
      <x:c r="V107" s="58" t="str">
        <x:v>Sin dato</x:v>
      </x:c>
      <x:c r="W107" s="64" t="str"/>
      <x:c r="X107" s="62" t="n">
        <x:v>46271.058773564815</x:v>
      </x:c>
      <x:c r="Y107" s="58" t="str">
        <x:v>No es todavía una fuente digital; conservar como pista territorial.</x:v>
      </x:c>
    </x:row>
    <x:row r="108" ht="42" customHeight="1">
      <x:c r="A108" s="9" t="str">
        <x:v>CL-FUE-0107</x:v>
      </x:c>
      <x:c r="B108" s="7" t="str">
        <x:v>Biblioteca Publica Municipal Tarapaca Oriente</x:v>
      </x:c>
      <x:c r="C108" s="7" t="str">
        <x:v>Biblioteca Publica Municipal Tarapaca Oriente</x:v>
      </x:c>
      <x:c r="D108" s="7" t="str">
        <x:v>Espacio cultural del directorio oficial</x:v>
      </x:c>
      <x:c r="E108" s="7" t="str">
        <x:v>Comunal/local</x:v>
      </x:c>
      <x:c r="F108" s="7" t="str">
        <x:v>Región de Arica y Parinacota</x:v>
      </x:c>
      <x:c r="G108" s="7" t="str">
        <x:v>Arica</x:v>
      </x:c>
      <x:c r="H108" s="7" t="str">
        <x:v>Libro y lectura; Literatura</x:v>
      </x:c>
      <x:c r="I108" s="7" t="str">
        <x:v>Canal digital por localizar</x:v>
      </x:c>
      <x:c r="J108" s="10" t="str"/>
      <x:c r="K108" s="10" t="str">
        <x:v>https://ciudadania.cultura.gob.cl/wp-content/uploads/2025/12/Directorio_Espacios-Culturales-2025_RC.pdf#page=7</x:v>
      </x:c>
      <x:c r="L108" s="7" t="str">
        <x:v>Referencia territorial</x:v>
      </x:c>
      <x:c r="M108" s="7" t="str">
        <x:v>No</x:v>
      </x:c>
      <x:c r="N108" s="7" t="str">
        <x:v>Baja</x:v>
      </x:c>
      <x:c r="O108" s="7" t="str">
        <x:v>Investigación manual</x:v>
      </x:c>
      <x:c r="P108" s="8" t="n">
        <x:v>46270.666666666664</x:v>
      </x:c>
      <x:c r="Q108" s="7" t="str">
        <x:v>Dirección OCR: Loa 2550, esquina Capitan Avalos, Arica. Ficha PDF p. 7.</x:v>
      </x:c>
      <x:c r="R108" s="58" t="str">
        <x:v>Referencia sin agenda</x:v>
      </x:c>
      <x:c r="S108" s="60" t="n">
        <x:v>0</x:v>
      </x:c>
      <x:c r="T108" s="58" t="str">
        <x:v>alta</x:v>
      </x:c>
      <x:c r="U108" s="60"/>
      <x:c r="V108" s="58" t="str">
        <x:v>Sin dato</x:v>
      </x:c>
      <x:c r="W108" s="64" t="str"/>
      <x:c r="X108" s="62" t="n">
        <x:v>46271.058773564815</x:v>
      </x:c>
      <x:c r="Y108" s="58" t="str">
        <x:v>No es todavía una fuente digital; conservar como pista territorial.</x:v>
      </x:c>
    </x:row>
    <x:row r="109" ht="42" customHeight="1">
      <x:c r="A109" s="9" t="str">
        <x:v>CL-FUE-0108</x:v>
      </x:c>
      <x:c r="B109" s="7" t="str">
        <x:v>iblioteca Alfredo Wormald Cruz</x:v>
      </x:c>
      <x:c r="C109" s="7" t="str">
        <x:v>iblioteca Alfredo Wormald Cruz</x:v>
      </x:c>
      <x:c r="D109" s="7" t="str">
        <x:v>Espacio cultural del directorio oficial</x:v>
      </x:c>
      <x:c r="E109" s="7" t="str">
        <x:v>Comunal/local</x:v>
      </x:c>
      <x:c r="F109" s="7" t="str">
        <x:v>Región de Arica y Parinacota</x:v>
      </x:c>
      <x:c r="G109" s="7" t="str">
        <x:v>Arica</x:v>
      </x:c>
      <x:c r="H109" s="7" t="str">
        <x:v>Artes visuales; Interculturalidad; Libro y lectura; Patrimonio</x:v>
      </x:c>
      <x:c r="I109" s="7" t="str">
        <x:v>Canal digital por localizar</x:v>
      </x:c>
      <x:c r="J109" s="10" t="str"/>
      <x:c r="K109" s="10" t="str">
        <x:v>https://ciudadania.cultura.gob.cl/wp-content/uploads/2025/12/Directorio_Espacios-Culturales-2025_RC.pdf#page=8</x:v>
      </x:c>
      <x:c r="L109" s="7" t="str">
        <x:v>Referencia territorial</x:v>
      </x:c>
      <x:c r="M109" s="7" t="str">
        <x:v>No</x:v>
      </x:c>
      <x:c r="N109" s="7" t="str">
        <x:v>Baja</x:v>
      </x:c>
      <x:c r="O109" s="7" t="str">
        <x:v>Investigación manual</x:v>
      </x:c>
      <x:c r="P109" s="8" t="n">
        <x:v>46270.666666666664</x:v>
      </x:c>
      <x:c r="Q109" s="7" t="str">
        <x:v>Dirección OCR: Baquedano 94, Arica. Ficha PDF p. 8.</x:v>
      </x:c>
      <x:c r="R109" s="58" t="str">
        <x:v>Referencia sin agenda</x:v>
      </x:c>
      <x:c r="S109" s="60" t="n">
        <x:v>0</x:v>
      </x:c>
      <x:c r="T109" s="58" t="str">
        <x:v>alta</x:v>
      </x:c>
      <x:c r="U109" s="60"/>
      <x:c r="V109" s="58" t="str">
        <x:v>Sin dato</x:v>
      </x:c>
      <x:c r="W109" s="64" t="str"/>
      <x:c r="X109" s="62" t="n">
        <x:v>46271.058773564815</x:v>
      </x:c>
      <x:c r="Y109" s="58" t="str">
        <x:v>No es todavía una fuente digital; conservar como pista territorial.</x:v>
      </x:c>
    </x:row>
    <x:row r="110" ht="42" customHeight="1">
      <x:c r="A110" s="9" t="str">
        <x:v>CL-FUE-0109</x:v>
      </x:c>
      <x:c r="B110" s="7" t="str">
        <x:v>Poblado Artesanal José Raul Naranjo Meneses</x:v>
      </x:c>
      <x:c r="C110" s="7" t="str">
        <x:v>Poblado Artesanal José Raul Naranjo Meneses</x:v>
      </x:c>
      <x:c r="D110" s="7" t="str">
        <x:v>Espacio cultural del directorio oficial</x:v>
      </x:c>
      <x:c r="E110" s="7" t="str">
        <x:v>Comunal/local</x:v>
      </x:c>
      <x:c r="F110" s="7" t="str">
        <x:v>Región de Arica y Parinacota</x:v>
      </x:c>
      <x:c r="G110" s="7" t="str">
        <x:v>Arica</x:v>
      </x:c>
      <x:c r="H110" s="7" t="str">
        <x:v>Artesanía; Artes visuales; Patrimonio; Pueblos originarios</x:v>
      </x:c>
      <x:c r="I110" s="7" t="str">
        <x:v>Canal digital por localizar</x:v>
      </x:c>
      <x:c r="J110" s="10" t="str"/>
      <x:c r="K110" s="10" t="str">
        <x:v>https://ciudadania.cultura.gob.cl/wp-content/uploads/2025/12/Directorio_Espacios-Culturales-2025_RC.pdf#page=9</x:v>
      </x:c>
      <x:c r="L110" s="7" t="str">
        <x:v>Referencia territorial</x:v>
      </x:c>
      <x:c r="M110" s="7" t="str">
        <x:v>No</x:v>
      </x:c>
      <x:c r="N110" s="7" t="str">
        <x:v>Baja</x:v>
      </x:c>
      <x:c r="O110" s="7" t="str">
        <x:v>Investigación manual</x:v>
      </x:c>
      <x:c r="P110" s="8" t="n">
        <x:v>46270.666666666664</x:v>
      </x:c>
      <x:c r="Q110" s="7" t="str">
        <x:v>Dirección OCR: Hualles 2825, Arica. Ficha PDF p. 9.</x:v>
      </x:c>
      <x:c r="R110" s="58" t="str">
        <x:v>Referencia sin agenda</x:v>
      </x:c>
      <x:c r="S110" s="60" t="n">
        <x:v>0</x:v>
      </x:c>
      <x:c r="T110" s="58" t="str">
        <x:v>alta</x:v>
      </x:c>
      <x:c r="U110" s="60"/>
      <x:c r="V110" s="58" t="str">
        <x:v>Sin dato</x:v>
      </x:c>
      <x:c r="W110" s="64" t="str"/>
      <x:c r="X110" s="62" t="n">
        <x:v>46271.058773564815</x:v>
      </x:c>
      <x:c r="Y110" s="58" t="str">
        <x:v>No es todavía una fuente digital; conservar como pista territorial.</x:v>
      </x:c>
    </x:row>
    <x:row r="111" ht="42" customHeight="1">
      <x:c r="A111" s="9" t="str">
        <x:v>CL-FUE-0110</x:v>
      </x:c>
      <x:c r="B111" s="7" t="str">
        <x:v>Mercado Central de Arica</x:v>
      </x:c>
      <x:c r="C111" s="7" t="str">
        <x:v>Mercado Central de Arica</x:v>
      </x:c>
      <x:c r="D111" s="7" t="str">
        <x:v>Espacio cultural del directorio oficial</x:v>
      </x:c>
      <x:c r="E111" s="7" t="str">
        <x:v>Comunal/local</x:v>
      </x:c>
      <x:c r="F111" s="7" t="str">
        <x:v>Región de Arica y Parinacota</x:v>
      </x:c>
      <x:c r="G111" s="7" t="str"/>
      <x:c r="H111" s="7" t="str">
        <x:v>Artesanía; Pueblos originarios; Cultura comunitaria</x:v>
      </x:c>
      <x:c r="I111" s="7" t="str">
        <x:v>Canal digital por localizar</x:v>
      </x:c>
      <x:c r="J111" s="10" t="str"/>
      <x:c r="K111" s="10" t="str">
        <x:v>https://ciudadania.cultura.gob.cl/wp-content/uploads/2025/12/Directorio_Espacios-Culturales-2025_RC.pdf#page=10</x:v>
      </x:c>
      <x:c r="L111" s="7" t="str">
        <x:v>Referencia territorial</x:v>
      </x:c>
      <x:c r="M111" s="7" t="str">
        <x:v>No</x:v>
      </x:c>
      <x:c r="N111" s="7" t="str">
        <x:v>Baja</x:v>
      </x:c>
      <x:c r="O111" s="7" t="str">
        <x:v>Investigación manual</x:v>
      </x:c>
      <x:c r="P111" s="8" t="n">
        <x:v>46270.666666666664</x:v>
      </x:c>
      <x:c r="Q111" s="7" t="str">
        <x:v>Dirección OCR: Sotomayor 340. Ficha PDF p. 10.</x:v>
      </x:c>
      <x:c r="R111" s="58" t="str">
        <x:v>Referencia sin agenda</x:v>
      </x:c>
      <x:c r="S111" s="60" t="n">
        <x:v>0</x:v>
      </x:c>
      <x:c r="T111" s="58" t="str">
        <x:v>alta</x:v>
      </x:c>
      <x:c r="U111" s="60"/>
      <x:c r="V111" s="58" t="str">
        <x:v>Sin dato</x:v>
      </x:c>
      <x:c r="W111" s="64" t="str"/>
      <x:c r="X111" s="62" t="n">
        <x:v>46271.058773564815</x:v>
      </x:c>
      <x:c r="Y111" s="58" t="str">
        <x:v>No es todavía una fuente digital; conservar como pista territorial.</x:v>
      </x:c>
    </x:row>
    <x:row r="112" ht="42" customHeight="1">
      <x:c r="A112" s="9" t="str">
        <x:v>CL-FUE-0111</x:v>
      </x:c>
      <x:c r="B112" s="7" t="str">
        <x:v>Parque de los Nifios y Nifias</x:v>
      </x:c>
      <x:c r="C112" s="7" t="str">
        <x:v>Parque de los Nifios y Nifias</x:v>
      </x:c>
      <x:c r="D112" s="7" t="str">
        <x:v>Espacio cultural del directorio oficial</x:v>
      </x:c>
      <x:c r="E112" s="7" t="str">
        <x:v>Comunal/local</x:v>
      </x:c>
      <x:c r="F112" s="7" t="str">
        <x:v>Región de Arica y Parinacota</x:v>
      </x:c>
      <x:c r="G112" s="7" t="str">
        <x:v>Arica</x:v>
      </x:c>
      <x:c r="H112" s="7" t="str">
        <x:v>Multidisciplinario (por clasificar)</x:v>
      </x:c>
      <x:c r="I112" s="7" t="str">
        <x:v>Canal digital por localizar</x:v>
      </x:c>
      <x:c r="J112" s="10" t="str"/>
      <x:c r="K112" s="10" t="str">
        <x:v>https://ciudadania.cultura.gob.cl/wp-content/uploads/2025/12/Directorio_Espacios-Culturales-2025_RC.pdf#page=11</x:v>
      </x:c>
      <x:c r="L112" s="7" t="str">
        <x:v>Referencia territorial</x:v>
      </x:c>
      <x:c r="M112" s="7" t="str">
        <x:v>No</x:v>
      </x:c>
      <x:c r="N112" s="7" t="str">
        <x:v>Baja</x:v>
      </x:c>
      <x:c r="O112" s="7" t="str">
        <x:v>Investigación manual</x:v>
      </x:c>
      <x:c r="P112" s="8" t="n">
        <x:v>46270.666666666664</x:v>
      </x:c>
      <x:c r="Q112" s="7" t="str">
        <x:v>Dirección OCR: Avenida Chorrillos 3569, Arica. Ficha PDF p. 11.</x:v>
      </x:c>
      <x:c r="R112" s="58" t="str">
        <x:v>Referencia sin agenda</x:v>
      </x:c>
      <x:c r="S112" s="60" t="n">
        <x:v>0</x:v>
      </x:c>
      <x:c r="T112" s="58" t="str">
        <x:v>alta</x:v>
      </x:c>
      <x:c r="U112" s="60"/>
      <x:c r="V112" s="58" t="str">
        <x:v>Sin dato</x:v>
      </x:c>
      <x:c r="W112" s="64" t="str"/>
      <x:c r="X112" s="62" t="n">
        <x:v>46271.058773564815</x:v>
      </x:c>
      <x:c r="Y112" s="58" t="str">
        <x:v>No es todavía una fuente digital; conservar como pista territorial.</x:v>
      </x:c>
    </x:row>
    <x:row r="113" ht="42" customHeight="1">
      <x:c r="A113" s="9" t="str">
        <x:v>CL-FUE-0112</x:v>
      </x:c>
      <x:c r="B113" s="7" t="str">
        <x:v>Corporacién Cultural El Tren</x:v>
      </x:c>
      <x:c r="C113" s="7" t="str">
        <x:v>Corporacién Cultural El Tren</x:v>
      </x:c>
      <x:c r="D113" s="7" t="str">
        <x:v>Espacio cultural del directorio oficial</x:v>
      </x:c>
      <x:c r="E113" s="7" t="str">
        <x:v>Comunal/local</x:v>
      </x:c>
      <x:c r="F113" s="7" t="str">
        <x:v>Región de Arica y Parinacota</x:v>
      </x:c>
      <x:c r="G113" s="7" t="str">
        <x:v>Arica</x:v>
      </x:c>
      <x:c r="H113" s="7" t="str">
        <x:v>Artes escénicas; Artes visuales; Audiovisual; Memoria y DD.HH.; Patrimonio; Pueblos originarios; Cultura comunitaria</x:v>
      </x:c>
      <x:c r="I113" s="7" t="str">
        <x:v>Canal digital por localizar</x:v>
      </x:c>
      <x:c r="J113" s="10" t="str"/>
      <x:c r="K113" s="10" t="str">
        <x:v>https://ciudadania.cultura.gob.cl/wp-content/uploads/2025/12/Directorio_Espacios-Culturales-2025_RC.pdf#page=12</x:v>
      </x:c>
      <x:c r="L113" s="7" t="str">
        <x:v>Referencia territorial</x:v>
      </x:c>
      <x:c r="M113" s="7" t="str">
        <x:v>No</x:v>
      </x:c>
      <x:c r="N113" s="7" t="str">
        <x:v>Baja</x:v>
      </x:c>
      <x:c r="O113" s="7" t="str">
        <x:v>Investigación manual</x:v>
      </x:c>
      <x:c r="P113" s="8" t="n">
        <x:v>46270.666666666664</x:v>
      </x:c>
      <x:c r="Q113" s="7" t="str">
        <x:v>Dirección OCR: Edmundo Pérez Zujovic 326, Arica. Ficha PDF p. 12.</x:v>
      </x:c>
      <x:c r="R113" s="58" t="str">
        <x:v>Referencia sin agenda</x:v>
      </x:c>
      <x:c r="S113" s="60" t="n">
        <x:v>0</x:v>
      </x:c>
      <x:c r="T113" s="58" t="str">
        <x:v>alta</x:v>
      </x:c>
      <x:c r="U113" s="60"/>
      <x:c r="V113" s="58" t="str">
        <x:v>Sin dato</x:v>
      </x:c>
      <x:c r="W113" s="64" t="str"/>
      <x:c r="X113" s="62" t="n">
        <x:v>46271.058773564815</x:v>
      </x:c>
      <x:c r="Y113" s="58" t="str">
        <x:v>No es todavía una fuente digital; conservar como pista territorial.</x:v>
      </x:c>
    </x:row>
    <x:row r="114" ht="42" customHeight="1">
      <x:c r="A114" s="9" t="str">
        <x:v>CL-FUE-0113</x:v>
      </x:c>
      <x:c r="B114" s="7" t="str">
        <x:v>Biblioteca Publica Municipal Los Industriales</x:v>
      </x:c>
      <x:c r="C114" s="7" t="str">
        <x:v>Biblioteca Publica Municipal Los Industriales</x:v>
      </x:c>
      <x:c r="D114" s="7" t="str">
        <x:v>Espacio cultural del directorio oficial</x:v>
      </x:c>
      <x:c r="E114" s="7" t="str">
        <x:v>Comunal/local</x:v>
      </x:c>
      <x:c r="F114" s="7" t="str">
        <x:v>Región de Arica y Parinacota</x:v>
      </x:c>
      <x:c r="G114" s="7" t="str">
        <x:v>Arica</x:v>
      </x:c>
      <x:c r="H114" s="7" t="str">
        <x:v>Multidisciplinario (por clasificar)</x:v>
      </x:c>
      <x:c r="I114" s="7" t="str">
        <x:v>Canal digital por localizar</x:v>
      </x:c>
      <x:c r="J114" s="10" t="str"/>
      <x:c r="K114" s="10" t="str">
        <x:v>https://ciudadania.cultura.gob.cl/wp-content/uploads/2025/12/Directorio_Espacios-Culturales-2025_RC.pdf#page=13</x:v>
      </x:c>
      <x:c r="L114" s="7" t="str">
        <x:v>Referencia territorial</x:v>
      </x:c>
      <x:c r="M114" s="7" t="str">
        <x:v>No</x:v>
      </x:c>
      <x:c r="N114" s="7" t="str">
        <x:v>Baja</x:v>
      </x:c>
      <x:c r="O114" s="7" t="str">
        <x:v>Investigación manual</x:v>
      </x:c>
      <x:c r="P114" s="8" t="n">
        <x:v>46270.666666666664</x:v>
      </x:c>
      <x:c r="Q114" s="7" t="str">
        <x:v>Dirección OCR: Pasaje Samo Alto 3347, Arica. Ficha PDF p. 13.</x:v>
      </x:c>
      <x:c r="R114" s="58" t="str">
        <x:v>Referencia sin agenda</x:v>
      </x:c>
      <x:c r="S114" s="60" t="n">
        <x:v>0</x:v>
      </x:c>
      <x:c r="T114" s="58" t="str">
        <x:v>alta</x:v>
      </x:c>
      <x:c r="U114" s="60"/>
      <x:c r="V114" s="58" t="str">
        <x:v>Sin dato</x:v>
      </x:c>
      <x:c r="W114" s="64" t="str"/>
      <x:c r="X114" s="62" t="n">
        <x:v>46271.058773564815</x:v>
      </x:c>
      <x:c r="Y114" s="58" t="str">
        <x:v>No es todavía una fuente digital; conservar como pista territorial.</x:v>
      </x:c>
    </x:row>
    <x:row r="115" ht="42" customHeight="1">
      <x:c r="A115" s="9" t="str">
        <x:v>CL-FUE-0114</x:v>
      </x:c>
      <x:c r="B115" s="7" t="str">
        <x:v>Galpsn Jiwasanaka Circo</x:v>
      </x:c>
      <x:c r="C115" s="7" t="str">
        <x:v>Galpsn Jiwasanaka Circo</x:v>
      </x:c>
      <x:c r="D115" s="7" t="str">
        <x:v>Espacio cultural del directorio oficial</x:v>
      </x:c>
      <x:c r="E115" s="7" t="str">
        <x:v>Comunal/local</x:v>
      </x:c>
      <x:c r="F115" s="7" t="str">
        <x:v>Región de Arica y Parinacota</x:v>
      </x:c>
      <x:c r="G115" s="7" t="str">
        <x:v>Arica</x:v>
      </x:c>
      <x:c r="H115" s="7" t="str">
        <x:v>Artes escénicas; Circo</x:v>
      </x:c>
      <x:c r="I115" s="7" t="str">
        <x:v>Canal digital por localizar</x:v>
      </x:c>
      <x:c r="J115" s="10" t="str"/>
      <x:c r="K115" s="10" t="str">
        <x:v>https://ciudadania.cultura.gob.cl/wp-content/uploads/2025/12/Directorio_Espacios-Culturales-2025_RC.pdf#page=14</x:v>
      </x:c>
      <x:c r="L115" s="7" t="str">
        <x:v>Referencia territorial</x:v>
      </x:c>
      <x:c r="M115" s="7" t="str">
        <x:v>No</x:v>
      </x:c>
      <x:c r="N115" s="7" t="str">
        <x:v>Baja</x:v>
      </x:c>
      <x:c r="O115" s="7" t="str">
        <x:v>Investigación manual</x:v>
      </x:c>
      <x:c r="P115" s="8" t="n">
        <x:v>46270.666666666664</x:v>
      </x:c>
      <x:c r="Q115" s="7" t="str">
        <x:v>Dirección OCR: Papudo 221, Cerro La Cruz, Arica. Ficha PDF p. 14.</x:v>
      </x:c>
      <x:c r="R115" s="58" t="str">
        <x:v>Referencia sin agenda</x:v>
      </x:c>
      <x:c r="S115" s="60" t="n">
        <x:v>0</x:v>
      </x:c>
      <x:c r="T115" s="58" t="str">
        <x:v>alta</x:v>
      </x:c>
      <x:c r="U115" s="60"/>
      <x:c r="V115" s="58" t="str">
        <x:v>Sin dato</x:v>
      </x:c>
      <x:c r="W115" s="64" t="str"/>
      <x:c r="X115" s="62" t="n">
        <x:v>46271.058773564815</x:v>
      </x:c>
      <x:c r="Y115" s="58" t="str">
        <x:v>No es todavía una fuente digital; conservar como pista territorial.</x:v>
      </x:c>
    </x:row>
    <x:row r="116" ht="42" customHeight="1">
      <x:c r="A116" s="9" t="str">
        <x:v>CL-FUE-0115</x:v>
      </x:c>
      <x:c r="B116" s="7" t="str">
        <x:v>Comunidad Indigena Marka Masi</x:v>
      </x:c>
      <x:c r="C116" s="7" t="str">
        <x:v>Comunidad Indigena Marka Masi</x:v>
      </x:c>
      <x:c r="D116" s="7" t="str">
        <x:v>Espacio cultural del directorio oficial</x:v>
      </x:c>
      <x:c r="E116" s="7" t="str">
        <x:v>Comunal/local</x:v>
      </x:c>
      <x:c r="F116" s="7" t="str">
        <x:v>Región de Arica y Parinacota</x:v>
      </x:c>
      <x:c r="G116" s="7" t="str">
        <x:v>Arica</x:v>
      </x:c>
      <x:c r="H116" s="7" t="str">
        <x:v>Artesanía; Música; Patrimonio; Pueblos originarios; Cultura comunitaria</x:v>
      </x:c>
      <x:c r="I116" s="7" t="str">
        <x:v>Canal digital por localizar</x:v>
      </x:c>
      <x:c r="J116" s="10" t="str"/>
      <x:c r="K116" s="10" t="str">
        <x:v>https://ciudadania.cultura.gob.cl/wp-content/uploads/2025/12/Directorio_Espacios-Culturales-2025_RC.pdf#page=15</x:v>
      </x:c>
      <x:c r="L116" s="7" t="str">
        <x:v>Referencia territorial</x:v>
      </x:c>
      <x:c r="M116" s="7" t="str">
        <x:v>No</x:v>
      </x:c>
      <x:c r="N116" s="7" t="str">
        <x:v>Baja</x:v>
      </x:c>
      <x:c r="O116" s="7" t="str">
        <x:v>Investigación manual</x:v>
      </x:c>
      <x:c r="P116" s="8" t="n">
        <x:v>46270.666666666664</x:v>
      </x:c>
      <x:c r="Q116" s="7" t="str">
        <x:v>Dirección OCR: Camino al vertedero s/n, Arica. Ficha PDF p. 15.</x:v>
      </x:c>
      <x:c r="R116" s="58" t="str">
        <x:v>Referencia sin agenda</x:v>
      </x:c>
      <x:c r="S116" s="60" t="n">
        <x:v>0</x:v>
      </x:c>
      <x:c r="T116" s="58" t="str">
        <x:v>alta</x:v>
      </x:c>
      <x:c r="U116" s="60"/>
      <x:c r="V116" s="58" t="str">
        <x:v>Sin dato</x:v>
      </x:c>
      <x:c r="W116" s="64" t="str"/>
      <x:c r="X116" s="62" t="n">
        <x:v>46271.058773564815</x:v>
      </x:c>
      <x:c r="Y116" s="58" t="str">
        <x:v>No es todavía una fuente digital; conservar como pista territorial.</x:v>
      </x:c>
    </x:row>
    <x:row r="117" ht="42" customHeight="1">
      <x:c r="A117" s="9" t="str">
        <x:v>CL-FUE-0116</x:v>
      </x:c>
      <x:c r="B117" s="7" t="str">
        <x:v>Teatro Municipal Pedro Ariel Olea</x:v>
      </x:c>
      <x:c r="C117" s="7" t="str">
        <x:v>Teatro Municipal Pedro Ariel Olea</x:v>
      </x:c>
      <x:c r="D117" s="7" t="str">
        <x:v>Espacio cultural del directorio oficial</x:v>
      </x:c>
      <x:c r="E117" s="7" t="str">
        <x:v>Comunal/local</x:v>
      </x:c>
      <x:c r="F117" s="7" t="str">
        <x:v>Región de Arica y Parinacota</x:v>
      </x:c>
      <x:c r="G117" s="7" t="str">
        <x:v>Arica</x:v>
      </x:c>
      <x:c r="H117" s="7" t="str">
        <x:v>Artes escénicas; Artes visuales; Audiovisual; Memoria y DD.HH.; Pueblos originarios; Teatro</x:v>
      </x:c>
      <x:c r="I117" s="7" t="str">
        <x:v>Canal digital por localizar</x:v>
      </x:c>
      <x:c r="J117" s="10" t="str"/>
      <x:c r="K117" s="10" t="str">
        <x:v>https://ciudadania.cultura.gob.cl/wp-content/uploads/2025/12/Directorio_Espacios-Culturales-2025_RC.pdf#page=16</x:v>
      </x:c>
      <x:c r="L117" s="7" t="str">
        <x:v>Referencia territorial</x:v>
      </x:c>
      <x:c r="M117" s="7" t="str">
        <x:v>No</x:v>
      </x:c>
      <x:c r="N117" s="7" t="str">
        <x:v>Baja</x:v>
      </x:c>
      <x:c r="O117" s="7" t="str">
        <x:v>Investigación manual</x:v>
      </x:c>
      <x:c r="P117" s="8" t="n">
        <x:v>46270.666666666664</x:v>
      </x:c>
      <x:c r="Q117" s="7" t="str">
        <x:v>Dirección OCR: Baquedano 234, Arica. Ficha PDF p. 16.</x:v>
      </x:c>
      <x:c r="R117" s="58" t="str">
        <x:v>Referencia sin agenda</x:v>
      </x:c>
      <x:c r="S117" s="60" t="n">
        <x:v>0</x:v>
      </x:c>
      <x:c r="T117" s="58" t="str">
        <x:v>alta</x:v>
      </x:c>
      <x:c r="U117" s="60"/>
      <x:c r="V117" s="58" t="str">
        <x:v>Sin dato</x:v>
      </x:c>
      <x:c r="W117" s="64" t="str"/>
      <x:c r="X117" s="62" t="n">
        <x:v>46271.058773564815</x:v>
      </x:c>
      <x:c r="Y117" s="58" t="str">
        <x:v>No es todavía una fuente digital; conservar como pista territorial.</x:v>
      </x:c>
    </x:row>
    <x:row r="118" ht="42" customHeight="1">
      <x:c r="A118" s="9" t="str">
        <x:v>CL-FUE-0117</x:v>
      </x:c>
      <x:c r="B118" s="7" t="str">
        <x:v>Casa de la Cultura Alfredo Raiteri Cortés /</x:v>
      </x:c>
      <x:c r="C118" s="7" t="str">
        <x:v>Casa de la Cultura Alfredo Raiteri Cortés /</x:v>
      </x:c>
      <x:c r="D118" s="7" t="str">
        <x:v>Espacio cultural del directorio oficial</x:v>
      </x:c>
      <x:c r="E118" s="7" t="str">
        <x:v>Comunal/local</x:v>
      </x:c>
      <x:c r="F118" s="7" t="str">
        <x:v>Región de Arica y Parinacota</x:v>
      </x:c>
      <x:c r="G118" s="7" t="str">
        <x:v>Arica</x:v>
      </x:c>
      <x:c r="H118" s="7" t="str">
        <x:v>Artesanía; Artes escénicas; Artes visuales; Educación artística; Pueblos originarios; Cultura comunitaria</x:v>
      </x:c>
      <x:c r="I118" s="7" t="str">
        <x:v>Canal digital por localizar</x:v>
      </x:c>
      <x:c r="J118" s="10" t="str"/>
      <x:c r="K118" s="10" t="str">
        <x:v>https://ciudadania.cultura.gob.cl/wp-content/uploads/2025/12/Directorio_Espacios-Culturales-2025_RC.pdf#page=17</x:v>
      </x:c>
      <x:c r="L118" s="7" t="str">
        <x:v>Referencia territorial</x:v>
      </x:c>
      <x:c r="M118" s="7" t="str">
        <x:v>No</x:v>
      </x:c>
      <x:c r="N118" s="7" t="str">
        <x:v>Baja</x:v>
      </x:c>
      <x:c r="O118" s="7" t="str">
        <x:v>Investigación manual</x:v>
      </x:c>
      <x:c r="P118" s="8" t="n">
        <x:v>46270.666666666664</x:v>
      </x:c>
      <x:c r="Q118" s="7" t="str">
        <x:v>Dirección OCR: Plaza Baquedano s/n, Arica. Ficha PDF p. 17.</x:v>
      </x:c>
      <x:c r="R118" s="58" t="str">
        <x:v>Referencia sin agenda</x:v>
      </x:c>
      <x:c r="S118" s="60" t="n">
        <x:v>0</x:v>
      </x:c>
      <x:c r="T118" s="58" t="str">
        <x:v>alta</x:v>
      </x:c>
      <x:c r="U118" s="60"/>
      <x:c r="V118" s="58" t="str">
        <x:v>Sin dato</x:v>
      </x:c>
      <x:c r="W118" s="64" t="str"/>
      <x:c r="X118" s="62" t="n">
        <x:v>46271.058773564815</x:v>
      </x:c>
      <x:c r="Y118" s="58" t="str">
        <x:v>No es todavía una fuente digital; conservar como pista territorial.</x:v>
      </x:c>
    </x:row>
    <x:row r="119" ht="42" customHeight="1">
      <x:c r="A119" s="9" t="str">
        <x:v>CL-FUE-0118</x:v>
      </x:c>
      <x:c r="B119" s="7" t="str">
        <x:v>Cine Municipal de Arica</x:v>
      </x:c>
      <x:c r="C119" s="7" t="str">
        <x:v>Cine Municipal de Arica</x:v>
      </x:c>
      <x:c r="D119" s="7" t="str">
        <x:v>Espacio cultural del directorio oficial</x:v>
      </x:c>
      <x:c r="E119" s="7" t="str">
        <x:v>Comunal/local</x:v>
      </x:c>
      <x:c r="F119" s="7" t="str">
        <x:v>Región de Arica y Parinacota</x:v>
      </x:c>
      <x:c r="G119" s="7" t="str">
        <x:v>Arica</x:v>
      </x:c>
      <x:c r="H119" s="7" t="str">
        <x:v>Artes visuales; Audiovisual; Educación artística</x:v>
      </x:c>
      <x:c r="I119" s="7" t="str">
        <x:v>Canal digital por localizar</x:v>
      </x:c>
      <x:c r="J119" s="10" t="str"/>
      <x:c r="K119" s="10" t="str">
        <x:v>https://ciudadania.cultura.gob.cl/wp-content/uploads/2025/12/Directorio_Espacios-Culturales-2025_RC.pdf#page=18</x:v>
      </x:c>
      <x:c r="L119" s="7" t="str">
        <x:v>Referencia territorial</x:v>
      </x:c>
      <x:c r="M119" s="7" t="str">
        <x:v>No</x:v>
      </x:c>
      <x:c r="N119" s="7" t="str">
        <x:v>Baja</x:v>
      </x:c>
      <x:c r="O119" s="7" t="str">
        <x:v>Investigación manual</x:v>
      </x:c>
      <x:c r="P119" s="8" t="n">
        <x:v>46270.666666666664</x:v>
      </x:c>
      <x:c r="Q119" s="7" t="str">
        <x:v>Dirección OCR: 7 de junio 190, Arica. Ficha PDF p. 18.</x:v>
      </x:c>
      <x:c r="R119" s="58" t="str">
        <x:v>Referencia sin agenda</x:v>
      </x:c>
      <x:c r="S119" s="60" t="n">
        <x:v>0</x:v>
      </x:c>
      <x:c r="T119" s="58" t="str">
        <x:v>alta</x:v>
      </x:c>
      <x:c r="U119" s="60"/>
      <x:c r="V119" s="58" t="str">
        <x:v>Sin dato</x:v>
      </x:c>
      <x:c r="W119" s="64" t="str"/>
      <x:c r="X119" s="62" t="n">
        <x:v>46271.058773564815</x:v>
      </x:c>
      <x:c r="Y119" s="58" t="str">
        <x:v>No es todavía una fuente digital; conservar como pista territorial.</x:v>
      </x:c>
    </x:row>
    <x:row r="120" ht="42" customHeight="1">
      <x:c r="A120" s="9" t="str">
        <x:v>CL-FUE-0119</x:v>
      </x:c>
      <x:c r="B120" s="7" t="str">
        <x:v>Centro de Artes Culturales y Escénicas</x:v>
      </x:c>
      <x:c r="C120" s="7" t="str">
        <x:v>Centro de Artes Culturales y Escénicas</x:v>
      </x:c>
      <x:c r="D120" s="7" t="str">
        <x:v>Espacio cultural del directorio oficial</x:v>
      </x:c>
      <x:c r="E120" s="7" t="str">
        <x:v>Comunal/local</x:v>
      </x:c>
      <x:c r="F120" s="7" t="str">
        <x:v>Región de Tarapacá</x:v>
      </x:c>
      <x:c r="G120" s="7" t="str">
        <x:v>Pozo Almonte</x:v>
      </x:c>
      <x:c r="H120" s="7" t="str">
        <x:v>Artes escénicas</x:v>
      </x:c>
      <x:c r="I120" s="7" t="str">
        <x:v>Canal digital por localizar</x:v>
      </x:c>
      <x:c r="J120" s="10" t="str"/>
      <x:c r="K120" s="10" t="str">
        <x:v>https://ciudadania.cultura.gob.cl/wp-content/uploads/2025/12/Directorio_Espacios-Culturales-2025_RC.pdf#page=19</x:v>
      </x:c>
      <x:c r="L120" s="7" t="str">
        <x:v>Referencia territorial</x:v>
      </x:c>
      <x:c r="M120" s="7" t="str">
        <x:v>No</x:v>
      </x:c>
      <x:c r="N120" s="7" t="str">
        <x:v>Baja</x:v>
      </x:c>
      <x:c r="O120" s="7" t="str">
        <x:v>Investigación manual</x:v>
      </x:c>
      <x:c r="P120" s="8" t="n">
        <x:v>46270.666666666664</x:v>
      </x:c>
      <x:c r="Q120" s="7" t="str">
        <x:v>Dirección OCR: Estacién 211, Pozo Almonte. Ficha PDF p. 19.</x:v>
      </x:c>
      <x:c r="R120" s="58" t="str">
        <x:v>Referencia sin agenda</x:v>
      </x:c>
      <x:c r="S120" s="60" t="n">
        <x:v>0</x:v>
      </x:c>
      <x:c r="T120" s="58" t="str">
        <x:v>alta</x:v>
      </x:c>
      <x:c r="U120" s="60"/>
      <x:c r="V120" s="58" t="str">
        <x:v>Sin dato</x:v>
      </x:c>
      <x:c r="W120" s="64" t="str"/>
      <x:c r="X120" s="62" t="n">
        <x:v>46271.058773564815</x:v>
      </x:c>
      <x:c r="Y120" s="58" t="str">
        <x:v>No es todavía una fuente digital; conservar como pista territorial.</x:v>
      </x:c>
    </x:row>
    <x:row r="121" ht="42" customHeight="1">
      <x:c r="A121" s="9" t="str">
        <x:v>CL-FUE-0120</x:v>
      </x:c>
      <x:c r="B121" s="7" t="str">
        <x:v>Semillarbol Centro Cultural</x:v>
      </x:c>
      <x:c r="C121" s="7" t="str">
        <x:v>Semillarbol Centro Cultural</x:v>
      </x:c>
      <x:c r="D121" s="7" t="str">
        <x:v>Espacio cultural del directorio oficial</x:v>
      </x:c>
      <x:c r="E121" s="7" t="str">
        <x:v>Comunal/local</x:v>
      </x:c>
      <x:c r="F121" s="7" t="str">
        <x:v>Región de Tarapacá</x:v>
      </x:c>
      <x:c r="G121" s="7" t="str"/>
      <x:c r="H121" s="7" t="str">
        <x:v>Multidisciplinario (por clasificar)</x:v>
      </x:c>
      <x:c r="I121" s="7" t="str">
        <x:v>Canal digital por localizar</x:v>
      </x:c>
      <x:c r="J121" s="10" t="str"/>
      <x:c r="K121" s="10" t="str">
        <x:v>https://ciudadania.cultura.gob.cl/wp-content/uploads/2025/12/Directorio_Espacios-Culturales-2025_RC.pdf#page=20</x:v>
      </x:c>
      <x:c r="L121" s="7" t="str">
        <x:v>Referencia territorial</x:v>
      </x:c>
      <x:c r="M121" s="7" t="str">
        <x:v>No</x:v>
      </x:c>
      <x:c r="N121" s="7" t="str">
        <x:v>Baja</x:v>
      </x:c>
      <x:c r="O121" s="7" t="str">
        <x:v>Investigación manual</x:v>
      </x:c>
      <x:c r="P121" s="8" t="n">
        <x:v>46270.666666666664</x:v>
      </x:c>
      <x:c r="Q121" s="7" t="str">
        <x:v>Dirección OCR: general J. Ficha PDF p. 20.</x:v>
      </x:c>
      <x:c r="R121" s="58" t="str">
        <x:v>Referencia sin agenda</x:v>
      </x:c>
      <x:c r="S121" s="60" t="n">
        <x:v>0</x:v>
      </x:c>
      <x:c r="T121" s="58" t="str">
        <x:v>alta</x:v>
      </x:c>
      <x:c r="U121" s="60"/>
      <x:c r="V121" s="58" t="str">
        <x:v>Sin dato</x:v>
      </x:c>
      <x:c r="W121" s="64" t="str"/>
      <x:c r="X121" s="62" t="n">
        <x:v>46271.058773564815</x:v>
      </x:c>
      <x:c r="Y121" s="58" t="str">
        <x:v>No es todavía una fuente digital; conservar como pista territorial.</x:v>
      </x:c>
    </x:row>
    <x:row r="122" ht="42" customHeight="1">
      <x:c r="A122" s="9" t="str">
        <x:v>CL-FUE-0121</x:v>
      </x:c>
      <x:c r="B122" s="7" t="str">
        <x:v>Colectiva Awicha Pacha</x:v>
      </x:c>
      <x:c r="C122" s="7" t="str">
        <x:v>Colectiva Awicha Pacha</x:v>
      </x:c>
      <x:c r="D122" s="7" t="str">
        <x:v>Espacio cultural del directorio oficial</x:v>
      </x:c>
      <x:c r="E122" s="7" t="str">
        <x:v>Comunal/local</x:v>
      </x:c>
      <x:c r="F122" s="7" t="str">
        <x:v>Región de Tarapacá</x:v>
      </x:c>
      <x:c r="G122" s="7" t="str">
        <x:v>Pozo Almonte</x:v>
      </x:c>
      <x:c r="H122" s="7" t="str">
        <x:v>Multidisciplinario (por clasificar)</x:v>
      </x:c>
      <x:c r="I122" s="7" t="str">
        <x:v>Canal digital por localizar</x:v>
      </x:c>
      <x:c r="J122" s="10" t="str"/>
      <x:c r="K122" s="10" t="str">
        <x:v>https://ciudadania.cultura.gob.cl/wp-content/uploads/2025/12/Directorio_Espacios-Culturales-2025_RC.pdf#page=21</x:v>
      </x:c>
      <x:c r="L122" s="7" t="str">
        <x:v>Referencia territorial</x:v>
      </x:c>
      <x:c r="M122" s="7" t="str">
        <x:v>No</x:v>
      </x:c>
      <x:c r="N122" s="7" t="str">
        <x:v>Baja</x:v>
      </x:c>
      <x:c r="O122" s="7" t="str">
        <x:v>Investigación manual</x:v>
      </x:c>
      <x:c r="P122" s="8" t="n">
        <x:v>46270.666666666664</x:v>
      </x:c>
      <x:c r="Q122" s="7" t="str">
        <x:v>Dirección OCR: Buen Retiro con Circunvalacién s/n, Pozo Almonte. Ficha PDF p. 21.</x:v>
      </x:c>
      <x:c r="R122" s="58" t="str">
        <x:v>Referencia sin agenda</x:v>
      </x:c>
      <x:c r="S122" s="60" t="n">
        <x:v>0</x:v>
      </x:c>
      <x:c r="T122" s="58" t="str">
        <x:v>alta</x:v>
      </x:c>
      <x:c r="U122" s="60"/>
      <x:c r="V122" s="58" t="str">
        <x:v>Sin dato</x:v>
      </x:c>
      <x:c r="W122" s="64" t="str"/>
      <x:c r="X122" s="62" t="n">
        <x:v>46271.058773564815</x:v>
      </x:c>
      <x:c r="Y122" s="58" t="str">
        <x:v>No es todavía una fuente digital; conservar como pista territorial.</x:v>
      </x:c>
    </x:row>
    <x:row r="123" ht="42" customHeight="1">
      <x:c r="A123" s="9" t="str">
        <x:v>CL-FUE-0122</x:v>
      </x:c>
      <x:c r="B123" s="7" t="str">
        <x:v>Espacio Akana</x:v>
      </x:c>
      <x:c r="C123" s="7" t="str">
        <x:v>Espacio Akana</x:v>
      </x:c>
      <x:c r="D123" s="7" t="str">
        <x:v>Espacio cultural del directorio oficial</x:v>
      </x:c>
      <x:c r="E123" s="7" t="str">
        <x:v>Comunal/local</x:v>
      </x:c>
      <x:c r="F123" s="7" t="str">
        <x:v>Región de Tarapacá</x:v>
      </x:c>
      <x:c r="G123" s="7" t="str">
        <x:v>Iquique</x:v>
      </x:c>
      <x:c r="H123" s="7" t="str">
        <x:v>Artes escénicas</x:v>
      </x:c>
      <x:c r="I123" s="7" t="str">
        <x:v>Canal digital por localizar</x:v>
      </x:c>
      <x:c r="J123" s="10" t="str"/>
      <x:c r="K123" s="10" t="str">
        <x:v>https://ciudadania.cultura.gob.cl/wp-content/uploads/2025/12/Directorio_Espacios-Culturales-2025_RC.pdf#page=22</x:v>
      </x:c>
      <x:c r="L123" s="7" t="str">
        <x:v>Referencia territorial</x:v>
      </x:c>
      <x:c r="M123" s="7" t="str">
        <x:v>No</x:v>
      </x:c>
      <x:c r="N123" s="7" t="str">
        <x:v>Baja</x:v>
      </x:c>
      <x:c r="O123" s="7" t="str">
        <x:v>Investigación manual</x:v>
      </x:c>
      <x:c r="P123" s="8" t="n">
        <x:v>46270.666666666664</x:v>
      </x:c>
      <x:c r="Q123" s="7" t="str">
        <x:v>Dirección OCR: Vivar 1342, Iquique. Ficha PDF p. 22.</x:v>
      </x:c>
      <x:c r="R123" s="58" t="str">
        <x:v>Referencia sin agenda</x:v>
      </x:c>
      <x:c r="S123" s="60" t="n">
        <x:v>0</x:v>
      </x:c>
      <x:c r="T123" s="58" t="str">
        <x:v>alta</x:v>
      </x:c>
      <x:c r="U123" s="60"/>
      <x:c r="V123" s="58" t="str">
        <x:v>Sin dato</x:v>
      </x:c>
      <x:c r="W123" s="64" t="str"/>
      <x:c r="X123" s="62" t="n">
        <x:v>46271.058773564815</x:v>
      </x:c>
      <x:c r="Y123" s="58" t="str">
        <x:v>No es todavía una fuente digital; conservar como pista territorial.</x:v>
      </x:c>
    </x:row>
    <x:row r="124" ht="42" customHeight="1">
      <x:c r="A124" s="9" t="str">
        <x:v>CL-FUE-0123</x:v>
      </x:c>
      <x:c r="B124" s="7" t="str">
        <x:v>Centro Cultural y Social Estacion Iquique</x:v>
      </x:c>
      <x:c r="C124" s="7" t="str">
        <x:v>Centro Cultural y Social Estacion Iquique</x:v>
      </x:c>
      <x:c r="D124" s="7" t="str">
        <x:v>Espacio cultural del directorio oficial</x:v>
      </x:c>
      <x:c r="E124" s="7" t="str">
        <x:v>Comunal/local</x:v>
      </x:c>
      <x:c r="F124" s="7" t="str">
        <x:v>Región de Tarapacá</x:v>
      </x:c>
      <x:c r="G124" s="7" t="str">
        <x:v>Iquique</x:v>
      </x:c>
      <x:c r="H124" s="7" t="str">
        <x:v>Danza; Música; Teatro</x:v>
      </x:c>
      <x:c r="I124" s="7" t="str">
        <x:v>Canal digital por localizar</x:v>
      </x:c>
      <x:c r="J124" s="10" t="str"/>
      <x:c r="K124" s="10" t="str">
        <x:v>https://ciudadania.cultura.gob.cl/wp-content/uploads/2025/12/Directorio_Espacios-Culturales-2025_RC.pdf#page=23</x:v>
      </x:c>
      <x:c r="L124" s="7" t="str">
        <x:v>Referencia territorial</x:v>
      </x:c>
      <x:c r="M124" s="7" t="str">
        <x:v>No</x:v>
      </x:c>
      <x:c r="N124" s="7" t="str">
        <x:v>Baja</x:v>
      </x:c>
      <x:c r="O124" s="7" t="str">
        <x:v>Investigación manual</x:v>
      </x:c>
      <x:c r="P124" s="8" t="n">
        <x:v>46270.666666666664</x:v>
      </x:c>
      <x:c r="Q124" s="7" t="str">
        <x:v>Dirección OCR: Genaro Gallo 830, Iquique. Ficha PDF p. 23.</x:v>
      </x:c>
      <x:c r="R124" s="58" t="str">
        <x:v>Referencia sin agenda</x:v>
      </x:c>
      <x:c r="S124" s="60" t="n">
        <x:v>0</x:v>
      </x:c>
      <x:c r="T124" s="58" t="str">
        <x:v>alta</x:v>
      </x:c>
      <x:c r="U124" s="60"/>
      <x:c r="V124" s="58" t="str">
        <x:v>Sin dato</x:v>
      </x:c>
      <x:c r="W124" s="64" t="str"/>
      <x:c r="X124" s="62" t="n">
        <x:v>46271.058773564815</x:v>
      </x:c>
      <x:c r="Y124" s="58" t="str">
        <x:v>No es todavía una fuente digital; conservar como pista territorial.</x:v>
      </x:c>
    </x:row>
    <x:row r="125" ht="42" customHeight="1">
      <x:c r="A125" s="9" t="str">
        <x:v>CL-FUE-0124</x:v>
      </x:c>
      <x:c r="B125" s="7" t="str">
        <x:v>Formarte Espacio Creativo</x:v>
      </x:c>
      <x:c r="C125" s="7" t="str">
        <x:v>Formarte Espacio Creativo</x:v>
      </x:c>
      <x:c r="D125" s="7" t="str">
        <x:v>Espacio cultural del directorio oficial</x:v>
      </x:c>
      <x:c r="E125" s="7" t="str">
        <x:v>Comunal/local</x:v>
      </x:c>
      <x:c r="F125" s="7" t="str">
        <x:v>Región de Tarapacá</x:v>
      </x:c>
      <x:c r="G125" s="7" t="str">
        <x:v>Iquique</x:v>
      </x:c>
      <x:c r="H125" s="7" t="str">
        <x:v>Artes escénicas</x:v>
      </x:c>
      <x:c r="I125" s="7" t="str">
        <x:v>Canal digital por localizar</x:v>
      </x:c>
      <x:c r="J125" s="10" t="str"/>
      <x:c r="K125" s="10" t="str">
        <x:v>https://ciudadania.cultura.gob.cl/wp-content/uploads/2025/12/Directorio_Espacios-Culturales-2025_RC.pdf#page=24</x:v>
      </x:c>
      <x:c r="L125" s="7" t="str">
        <x:v>Referencia territorial</x:v>
      </x:c>
      <x:c r="M125" s="7" t="str">
        <x:v>No</x:v>
      </x:c>
      <x:c r="N125" s="7" t="str">
        <x:v>Baja</x:v>
      </x:c>
      <x:c r="O125" s="7" t="str">
        <x:v>Investigación manual</x:v>
      </x:c>
      <x:c r="P125" s="8" t="n">
        <x:v>46270.666666666664</x:v>
      </x:c>
      <x:c r="Q125" s="7" t="str">
        <x:v>Dirección OCR: Pasaje Santa Maria 1835, Iquique. Ficha PDF p. 24.</x:v>
      </x:c>
      <x:c r="R125" s="58" t="str">
        <x:v>Referencia sin agenda</x:v>
      </x:c>
      <x:c r="S125" s="60" t="n">
        <x:v>0</x:v>
      </x:c>
      <x:c r="T125" s="58" t="str">
        <x:v>alta</x:v>
      </x:c>
      <x:c r="U125" s="60"/>
      <x:c r="V125" s="58" t="str">
        <x:v>Sin dato</x:v>
      </x:c>
      <x:c r="W125" s="64" t="str"/>
      <x:c r="X125" s="62" t="n">
        <x:v>46271.058773564815</x:v>
      </x:c>
      <x:c r="Y125" s="58" t="str">
        <x:v>No es todavía una fuente digital; conservar como pista territorial.</x:v>
      </x:c>
    </x:row>
    <x:row r="126" ht="42" customHeight="1">
      <x:c r="A126" s="9" t="str">
        <x:v>CL-FUE-0125</x:v>
      </x:c>
      <x:c r="B126" s="7" t="str">
        <x:v>Centro Cultural La Inclusive</x:v>
      </x:c>
      <x:c r="C126" s="7" t="str">
        <x:v>Centro Cultural La Inclusive</x:v>
      </x:c>
      <x:c r="D126" s="7" t="str">
        <x:v>Espacio cultural del directorio oficial</x:v>
      </x:c>
      <x:c r="E126" s="7" t="str">
        <x:v>Comunal/local</x:v>
      </x:c>
      <x:c r="F126" s="7" t="str">
        <x:v>Región de Tarapacá</x:v>
      </x:c>
      <x:c r="G126" s="7" t="str">
        <x:v>Iquique</x:v>
      </x:c>
      <x:c r="H126" s="7" t="str">
        <x:v>Educación artística</x:v>
      </x:c>
      <x:c r="I126" s="7" t="str">
        <x:v>Canal digital por localizar</x:v>
      </x:c>
      <x:c r="J126" s="10" t="str"/>
      <x:c r="K126" s="10" t="str">
        <x:v>https://ciudadania.cultura.gob.cl/wp-content/uploads/2025/12/Directorio_Espacios-Culturales-2025_RC.pdf#page=25</x:v>
      </x:c>
      <x:c r="L126" s="7" t="str">
        <x:v>Referencia territorial</x:v>
      </x:c>
      <x:c r="M126" s="7" t="str">
        <x:v>No</x:v>
      </x:c>
      <x:c r="N126" s="7" t="str">
        <x:v>Baja</x:v>
      </x:c>
      <x:c r="O126" s="7" t="str">
        <x:v>Investigación manual</x:v>
      </x:c>
      <x:c r="P126" s="8" t="n">
        <x:v>46270.666666666664</x:v>
      </x:c>
      <x:c r="Q126" s="7" t="str">
        <x:v>Dirección OCR: Baquedano 951, Iquique. Ficha PDF p. 25.</x:v>
      </x:c>
      <x:c r="R126" s="58" t="str">
        <x:v>Referencia sin agenda</x:v>
      </x:c>
      <x:c r="S126" s="60" t="n">
        <x:v>0</x:v>
      </x:c>
      <x:c r="T126" s="58" t="str">
        <x:v>alta</x:v>
      </x:c>
      <x:c r="U126" s="60"/>
      <x:c r="V126" s="58" t="str">
        <x:v>Sin dato</x:v>
      </x:c>
      <x:c r="W126" s="64" t="str"/>
      <x:c r="X126" s="62" t="n">
        <x:v>46271.058773564815</x:v>
      </x:c>
      <x:c r="Y126" s="58" t="str">
        <x:v>No es todavía una fuente digital; conservar como pista territorial.</x:v>
      </x:c>
    </x:row>
    <x:row r="127" ht="42" customHeight="1">
      <x:c r="A127" s="9" t="str">
        <x:v>CL-FUE-0126</x:v>
      </x:c>
      <x:c r="B127" s="7" t="str">
        <x:v>Casa de Oficios</x:v>
      </x:c>
      <x:c r="C127" s="7" t="str">
        <x:v>Casa de Oficios</x:v>
      </x:c>
      <x:c r="D127" s="7" t="str">
        <x:v>Espacio cultural del directorio oficial</x:v>
      </x:c>
      <x:c r="E127" s="7" t="str">
        <x:v>Comunal/local</x:v>
      </x:c>
      <x:c r="F127" s="7" t="str">
        <x:v>Región de Tarapacá</x:v>
      </x:c>
      <x:c r="G127" s="7" t="str">
        <x:v>Iquique</x:v>
      </x:c>
      <x:c r="H127" s="7" t="str">
        <x:v>Artesanía</x:v>
      </x:c>
      <x:c r="I127" s="7" t="str">
        <x:v>Canal digital por localizar</x:v>
      </x:c>
      <x:c r="J127" s="10" t="str"/>
      <x:c r="K127" s="10" t="str">
        <x:v>https://ciudadania.cultura.gob.cl/wp-content/uploads/2025/12/Directorio_Espacios-Culturales-2025_RC.pdf#page=26</x:v>
      </x:c>
      <x:c r="L127" s="7" t="str">
        <x:v>Referencia territorial</x:v>
      </x:c>
      <x:c r="M127" s="7" t="str">
        <x:v>No</x:v>
      </x:c>
      <x:c r="N127" s="7" t="str">
        <x:v>Baja</x:v>
      </x:c>
      <x:c r="O127" s="7" t="str">
        <x:v>Investigación manual</x:v>
      </x:c>
      <x:c r="P127" s="8" t="n">
        <x:v>46270.666666666664</x:v>
      </x:c>
      <x:c r="Q127" s="7" t="str">
        <x:v>Dirección OCR: Obispo Labbé 780, Iquique. Ficha PDF p. 26.</x:v>
      </x:c>
      <x:c r="R127" s="58" t="str">
        <x:v>Referencia sin agenda</x:v>
      </x:c>
      <x:c r="S127" s="60" t="n">
        <x:v>0</x:v>
      </x:c>
      <x:c r="T127" s="58" t="str">
        <x:v>alta</x:v>
      </x:c>
      <x:c r="U127" s="60"/>
      <x:c r="V127" s="58" t="str">
        <x:v>Sin dato</x:v>
      </x:c>
      <x:c r="W127" s="64" t="str"/>
      <x:c r="X127" s="62" t="n">
        <x:v>46271.058773564815</x:v>
      </x:c>
      <x:c r="Y127" s="58" t="str">
        <x:v>No es todavía una fuente digital; conservar como pista territorial.</x:v>
      </x:c>
    </x:row>
    <x:row r="128" ht="42" customHeight="1">
      <x:c r="A128" s="9" t="str">
        <x:v>CL-FUE-0127</x:v>
      </x:c>
      <x:c r="B128" s="7" t="str">
        <x:v>Centro Social Cultural</x:v>
      </x:c>
      <x:c r="C128" s="7" t="str">
        <x:v>Centro Social Cultural</x:v>
      </x:c>
      <x:c r="D128" s="7" t="str">
        <x:v>Espacio cultural del directorio oficial</x:v>
      </x:c>
      <x:c r="E128" s="7" t="str">
        <x:v>Comunal/local</x:v>
      </x:c>
      <x:c r="F128" s="7" t="str">
        <x:v>Región de Tarapacá</x:v>
      </x:c>
      <x:c r="G128" s="7" t="str">
        <x:v>Iquique</x:v>
      </x:c>
      <x:c r="H128" s="7" t="str">
        <x:v>Danza</x:v>
      </x:c>
      <x:c r="I128" s="7" t="str">
        <x:v>Canal digital por localizar</x:v>
      </x:c>
      <x:c r="J128" s="10" t="str"/>
      <x:c r="K128" s="10" t="str">
        <x:v>https://ciudadania.cultura.gob.cl/wp-content/uploads/2025/12/Directorio_Espacios-Culturales-2025_RC.pdf#page=27</x:v>
      </x:c>
      <x:c r="L128" s="7" t="str">
        <x:v>Referencia territorial</x:v>
      </x:c>
      <x:c r="M128" s="7" t="str">
        <x:v>No</x:v>
      </x:c>
      <x:c r="N128" s="7" t="str">
        <x:v>Baja</x:v>
      </x:c>
      <x:c r="O128" s="7" t="str">
        <x:v>Investigación manual</x:v>
      </x:c>
      <x:c r="P128" s="8" t="n">
        <x:v>46270.666666666664</x:v>
      </x:c>
      <x:c r="Q128" s="7" t="str">
        <x:v>Dirección OCR: Rancagua 3254, Iquique. Ficha PDF p. 27.</x:v>
      </x:c>
      <x:c r="R128" s="58" t="str">
        <x:v>Referencia sin agenda</x:v>
      </x:c>
      <x:c r="S128" s="60" t="n">
        <x:v>0</x:v>
      </x:c>
      <x:c r="T128" s="58" t="str">
        <x:v>alta</x:v>
      </x:c>
      <x:c r="U128" s="60"/>
      <x:c r="V128" s="58" t="str">
        <x:v>Sin dato</x:v>
      </x:c>
      <x:c r="W128" s="64" t="str"/>
      <x:c r="X128" s="62" t="n">
        <x:v>46271.058773564815</x:v>
      </x:c>
      <x:c r="Y128" s="58" t="str">
        <x:v>No es todavía una fuente digital; conservar como pista territorial.</x:v>
      </x:c>
    </x:row>
    <x:row r="129" ht="42" customHeight="1">
      <x:c r="A129" s="9" t="str">
        <x:v>CL-FUE-0128</x:v>
      </x:c>
      <x:c r="B129" s="7" t="str">
        <x:v>Centro Cultural Atmadarshan</x:v>
      </x:c>
      <x:c r="C129" s="7" t="str">
        <x:v>Centro Cultural Atmadarshan</x:v>
      </x:c>
      <x:c r="D129" s="7" t="str">
        <x:v>Espacio cultural del directorio oficial</x:v>
      </x:c>
      <x:c r="E129" s="7" t="str">
        <x:v>Comunal/local</x:v>
      </x:c>
      <x:c r="F129" s="7" t="str">
        <x:v>Región de Tarapacá</x:v>
      </x:c>
      <x:c r="G129" s="7" t="str">
        <x:v>Iquique</x:v>
      </x:c>
      <x:c r="H129" s="7" t="str">
        <x:v>Artes escénicas</x:v>
      </x:c>
      <x:c r="I129" s="7" t="str">
        <x:v>Canal digital por localizar</x:v>
      </x:c>
      <x:c r="J129" s="10" t="str"/>
      <x:c r="K129" s="10" t="str">
        <x:v>https://ciudadania.cultura.gob.cl/wp-content/uploads/2025/12/Directorio_Espacios-Culturales-2025_RC.pdf#page=28</x:v>
      </x:c>
      <x:c r="L129" s="7" t="str">
        <x:v>Referencia territorial</x:v>
      </x:c>
      <x:c r="M129" s="7" t="str">
        <x:v>No</x:v>
      </x:c>
      <x:c r="N129" s="7" t="str">
        <x:v>Baja</x:v>
      </x:c>
      <x:c r="O129" s="7" t="str">
        <x:v>Investigación manual</x:v>
      </x:c>
      <x:c r="P129" s="8" t="n">
        <x:v>46270.666666666664</x:v>
      </x:c>
      <x:c r="Q129" s="7" t="str">
        <x:v>Dirección OCR: Las Amapolas 2680, Iquique. Ficha PDF p. 28.</x:v>
      </x:c>
      <x:c r="R129" s="58" t="str">
        <x:v>Referencia sin agenda</x:v>
      </x:c>
      <x:c r="S129" s="60" t="n">
        <x:v>0</x:v>
      </x:c>
      <x:c r="T129" s="58" t="str">
        <x:v>alta</x:v>
      </x:c>
      <x:c r="U129" s="60"/>
      <x:c r="V129" s="58" t="str">
        <x:v>Sin dato</x:v>
      </x:c>
      <x:c r="W129" s="64" t="str"/>
      <x:c r="X129" s="62" t="n">
        <x:v>46271.058773564815</x:v>
      </x:c>
      <x:c r="Y129" s="58" t="str">
        <x:v>No es todavía una fuente digital; conservar como pista territorial.</x:v>
      </x:c>
    </x:row>
    <x:row r="130" ht="42" customHeight="1">
      <x:c r="A130" s="9" t="str">
        <x:v>CL-FUE-0129</x:v>
      </x:c>
      <x:c r="B130" s="7" t="str">
        <x:v>Centro Cultural de Alto Hospicio</x:v>
      </x:c>
      <x:c r="C130" s="7" t="str">
        <x:v>Centro Cultural de Alto Hospicio</x:v>
      </x:c>
      <x:c r="D130" s="7" t="str">
        <x:v>Espacio cultural del directorio oficial</x:v>
      </x:c>
      <x:c r="E130" s="7" t="str">
        <x:v>Comunal/local</x:v>
      </x:c>
      <x:c r="F130" s="7" t="str">
        <x:v>Región de Tarapacá</x:v>
      </x:c>
      <x:c r="G130" s="7" t="str">
        <x:v>Alto Hospicio</x:v>
      </x:c>
      <x:c r="H130" s="7" t="str">
        <x:v>Multidisciplinario (por clasificar)</x:v>
      </x:c>
      <x:c r="I130" s="7" t="str">
        <x:v>Canal digital por localizar</x:v>
      </x:c>
      <x:c r="J130" s="10" t="str"/>
      <x:c r="K130" s="10" t="str">
        <x:v>https://ciudadania.cultura.gob.cl/wp-content/uploads/2025/12/Directorio_Espacios-Culturales-2025_RC.pdf#page=29</x:v>
      </x:c>
      <x:c r="L130" s="7" t="str">
        <x:v>Referencia territorial</x:v>
      </x:c>
      <x:c r="M130" s="7" t="str">
        <x:v>No</x:v>
      </x:c>
      <x:c r="N130" s="7" t="str">
        <x:v>Baja</x:v>
      </x:c>
      <x:c r="O130" s="7" t="str">
        <x:v>Investigación manual</x:v>
      </x:c>
      <x:c r="P130" s="8" t="n">
        <x:v>46270.666666666664</x:v>
      </x:c>
      <x:c r="Q130" s="7" t="str">
        <x:v>Dirección OCR: Los Tamarugos 3031, Alto Hospicio. Ficha PDF p. 29.</x:v>
      </x:c>
      <x:c r="R130" s="58" t="str">
        <x:v>Referencia sin agenda</x:v>
      </x:c>
      <x:c r="S130" s="60" t="n">
        <x:v>0</x:v>
      </x:c>
      <x:c r="T130" s="58" t="str">
        <x:v>alta</x:v>
      </x:c>
      <x:c r="U130" s="60"/>
      <x:c r="V130" s="58" t="str">
        <x:v>Sin dato</x:v>
      </x:c>
      <x:c r="W130" s="64" t="str"/>
      <x:c r="X130" s="62" t="n">
        <x:v>46271.058773564815</x:v>
      </x:c>
      <x:c r="Y130" s="58" t="str">
        <x:v>No es todavía una fuente digital; conservar como pista territorial.</x:v>
      </x:c>
    </x:row>
    <x:row r="131" ht="42" customHeight="1">
      <x:c r="A131" s="9" t="str">
        <x:v>CL-FUE-0130</x:v>
      </x:c>
      <x:c r="B131" s="7" t="str">
        <x:v>Estudio OF</x:v>
      </x:c>
      <x:c r="C131" s="7" t="str">
        <x:v>Estudio OF</x:v>
      </x:c>
      <x:c r="D131" s="7" t="str">
        <x:v>Espacio cultural del directorio oficial</x:v>
      </x:c>
      <x:c r="E131" s="7" t="str">
        <x:v>Comunal/local</x:v>
      </x:c>
      <x:c r="F131" s="7" t="str">
        <x:v>Región de Tarapacá</x:v>
      </x:c>
      <x:c r="G131" s="7" t="str">
        <x:v>Iquique</x:v>
      </x:c>
      <x:c r="H131" s="7" t="str">
        <x:v>Multidisciplinario (por clasificar)</x:v>
      </x:c>
      <x:c r="I131" s="7" t="str">
        <x:v>Canal digital por localizar</x:v>
      </x:c>
      <x:c r="J131" s="10" t="str"/>
      <x:c r="K131" s="10" t="str">
        <x:v>https://ciudadania.cultura.gob.cl/wp-content/uploads/2025/12/Directorio_Espacios-Culturales-2025_RC.pdf#page=30</x:v>
      </x:c>
      <x:c r="L131" s="7" t="str">
        <x:v>Referencia territorial</x:v>
      </x:c>
      <x:c r="M131" s="7" t="str">
        <x:v>No</x:v>
      </x:c>
      <x:c r="N131" s="7" t="str">
        <x:v>Baja</x:v>
      </x:c>
      <x:c r="O131" s="7" t="str">
        <x:v>Investigación manual</x:v>
      </x:c>
      <x:c r="P131" s="8" t="n">
        <x:v>46270.666666666664</x:v>
      </x:c>
      <x:c r="Q131" s="7" t="str">
        <x:v>Dirección OCR: Serrano 145, of. 304, Iquique. Ficha PDF p. 30.</x:v>
      </x:c>
      <x:c r="R131" s="58" t="str">
        <x:v>Referencia sin agenda</x:v>
      </x:c>
      <x:c r="S131" s="60" t="n">
        <x:v>0</x:v>
      </x:c>
      <x:c r="T131" s="58" t="str">
        <x:v>alta</x:v>
      </x:c>
      <x:c r="U131" s="60"/>
      <x:c r="V131" s="58" t="str">
        <x:v>Sin dato</x:v>
      </x:c>
      <x:c r="W131" s="64" t="str"/>
      <x:c r="X131" s="62" t="n">
        <x:v>46271.058773564815</x:v>
      </x:c>
      <x:c r="Y131" s="58" t="str">
        <x:v>No es todavía una fuente digital; conservar como pista territorial.</x:v>
      </x:c>
    </x:row>
    <x:row r="132" ht="42" customHeight="1">
      <x:c r="A132" s="9" t="str">
        <x:v>CL-FUE-0131</x:v>
      </x:c>
      <x:c r="B132" s="7" t="str">
        <x:v>Casa Municipal de la Cultura</x:v>
      </x:c>
      <x:c r="C132" s="7" t="str">
        <x:v>Casa Municipal de la Cultura</x:v>
      </x:c>
      <x:c r="D132" s="7" t="str">
        <x:v>Espacio cultural del directorio oficial</x:v>
      </x:c>
      <x:c r="E132" s="7" t="str">
        <x:v>Comunal/local</x:v>
      </x:c>
      <x:c r="F132" s="7" t="str">
        <x:v>Región de Tarapacá</x:v>
      </x:c>
      <x:c r="G132" s="7" t="str">
        <x:v>Iquique</x:v>
      </x:c>
      <x:c r="H132" s="7" t="str">
        <x:v>Multidisciplinario (por clasificar)</x:v>
      </x:c>
      <x:c r="I132" s="7" t="str">
        <x:v>Canal digital por localizar</x:v>
      </x:c>
      <x:c r="J132" s="10" t="str"/>
      <x:c r="K132" s="10" t="str">
        <x:v>https://ciudadania.cultura.gob.cl/wp-content/uploads/2025/12/Directorio_Espacios-Culturales-2025_RC.pdf#page=31</x:v>
      </x:c>
      <x:c r="L132" s="7" t="str">
        <x:v>Referencia territorial</x:v>
      </x:c>
      <x:c r="M132" s="7" t="str">
        <x:v>No</x:v>
      </x:c>
      <x:c r="N132" s="7" t="str">
        <x:v>Baja</x:v>
      </x:c>
      <x:c r="O132" s="7" t="str">
        <x:v>Investigación manual</x:v>
      </x:c>
      <x:c r="P132" s="8" t="n">
        <x:v>46270.666666666664</x:v>
      </x:c>
      <x:c r="Q132" s="7" t="str">
        <x:v>Dirección OCR: Baquedano 789, Iquique. Ficha PDF p. 31.</x:v>
      </x:c>
      <x:c r="R132" s="58" t="str">
        <x:v>Referencia sin agenda</x:v>
      </x:c>
      <x:c r="S132" s="60" t="n">
        <x:v>0</x:v>
      </x:c>
      <x:c r="T132" s="58" t="str">
        <x:v>alta</x:v>
      </x:c>
      <x:c r="U132" s="60"/>
      <x:c r="V132" s="58" t="str">
        <x:v>Sin dato</x:v>
      </x:c>
      <x:c r="W132" s="64" t="str"/>
      <x:c r="X132" s="62" t="n">
        <x:v>46271.058773564815</x:v>
      </x:c>
      <x:c r="Y132" s="58" t="str">
        <x:v>No es todavía una fuente digital; conservar como pista territorial.</x:v>
      </x:c>
    </x:row>
    <x:row r="133" ht="42" customHeight="1">
      <x:c r="A133" s="9" t="str">
        <x:v>CL-FUE-0132</x:v>
      </x:c>
      <x:c r="B133" s="7" t="str">
        <x:v>Museo de Mejillones Raul Mavrakis Morales</x:v>
      </x:c>
      <x:c r="C133" s="7" t="str">
        <x:v>Museo de Mejillones Raul Mavrakis Morales</x:v>
      </x:c>
      <x:c r="D133" s="7" t="str">
        <x:v>Espacio cultural del directorio oficial</x:v>
      </x:c>
      <x:c r="E133" s="7" t="str">
        <x:v>Comunal/local</x:v>
      </x:c>
      <x:c r="F133" s="7" t="str">
        <x:v>Región de Antofagasta</x:v>
      </x:c>
      <x:c r="G133" s="7" t="str">
        <x:v>Mejillones</x:v>
      </x:c>
      <x:c r="H133" s="7" t="str">
        <x:v>Multidisciplinario (por clasificar)</x:v>
      </x:c>
      <x:c r="I133" s="7" t="str">
        <x:v>Canal digital por localizar</x:v>
      </x:c>
      <x:c r="J133" s="10" t="str"/>
      <x:c r="K133" s="10" t="str">
        <x:v>https://ciudadania.cultura.gob.cl/wp-content/uploads/2025/12/Directorio_Espacios-Culturales-2025_RC.pdf#page=32</x:v>
      </x:c>
      <x:c r="L133" s="7" t="str">
        <x:v>Referencia territorial</x:v>
      </x:c>
      <x:c r="M133" s="7" t="str">
        <x:v>No</x:v>
      </x:c>
      <x:c r="N133" s="7" t="str">
        <x:v>Baja</x:v>
      </x:c>
      <x:c r="O133" s="7" t="str">
        <x:v>Investigación manual</x:v>
      </x:c>
      <x:c r="P133" s="8" t="n">
        <x:v>46270.666666666664</x:v>
      </x:c>
      <x:c r="Q133" s="7" t="str">
        <x:v>Dirección OCR: Francisco Antonio Pinto 110, Mejillones. Ficha PDF p. 32.</x:v>
      </x:c>
      <x:c r="R133" s="58" t="str">
        <x:v>Referencia sin agenda</x:v>
      </x:c>
      <x:c r="S133" s="60" t="n">
        <x:v>0</x:v>
      </x:c>
      <x:c r="T133" s="58" t="str">
        <x:v>alta</x:v>
      </x:c>
      <x:c r="U133" s="60"/>
      <x:c r="V133" s="58" t="str">
        <x:v>Sin dato</x:v>
      </x:c>
      <x:c r="W133" s="64" t="str"/>
      <x:c r="X133" s="62" t="n">
        <x:v>46271.058773564815</x:v>
      </x:c>
      <x:c r="Y133" s="58" t="str">
        <x:v>No es todavía una fuente digital; conservar como pista territorial.</x:v>
      </x:c>
    </x:row>
    <x:row r="134" ht="42" customHeight="1">
      <x:c r="A134" s="9" t="str">
        <x:v>CL-FUE-0133</x:v>
      </x:c>
      <x:c r="B134" s="7" t="str">
        <x:v>Teatro Municipal Jaime Guerra Yanez</x:v>
      </x:c>
      <x:c r="C134" s="7" t="str">
        <x:v>Teatro Municipal Jaime Guerra Yanez</x:v>
      </x:c>
      <x:c r="D134" s="7" t="str">
        <x:v>Espacio cultural del directorio oficial</x:v>
      </x:c>
      <x:c r="E134" s="7" t="str">
        <x:v>Comunal/local</x:v>
      </x:c>
      <x:c r="F134" s="7" t="str">
        <x:v>Región de Antofagasta</x:v>
      </x:c>
      <x:c r="G134" s="7" t="str">
        <x:v>Maria Elena</x:v>
      </x:c>
      <x:c r="H134" s="7" t="str">
        <x:v>Artes escénicas; Audiovisual; Educación artística; Memoria y DD.HH.; Patrimonio; Cultura comunitaria; Teatro</x:v>
      </x:c>
      <x:c r="I134" s="7" t="str">
        <x:v>Canal digital por localizar</x:v>
      </x:c>
      <x:c r="J134" s="10" t="str"/>
      <x:c r="K134" s="10" t="str">
        <x:v>https://ciudadania.cultura.gob.cl/wp-content/uploads/2025/12/Directorio_Espacios-Culturales-2025_RC.pdf#page=33</x:v>
      </x:c>
      <x:c r="L134" s="7" t="str">
        <x:v>Referencia territorial</x:v>
      </x:c>
      <x:c r="M134" s="7" t="str">
        <x:v>No</x:v>
      </x:c>
      <x:c r="N134" s="7" t="str">
        <x:v>Baja</x:v>
      </x:c>
      <x:c r="O134" s="7" t="str">
        <x:v>Investigación manual</x:v>
      </x:c>
      <x:c r="P134" s="8" t="n">
        <x:v>46270.666666666664</x:v>
      </x:c>
      <x:c r="Q134" s="7" t="str">
        <x:v>Dirección OCR: Ignacio Carrera Pinto s/n, Maria Elena. Ficha PDF p. 33.</x:v>
      </x:c>
      <x:c r="R134" s="58" t="str">
        <x:v>Referencia sin agenda</x:v>
      </x:c>
      <x:c r="S134" s="60" t="n">
        <x:v>0</x:v>
      </x:c>
      <x:c r="T134" s="58" t="str">
        <x:v>alta</x:v>
      </x:c>
      <x:c r="U134" s="60"/>
      <x:c r="V134" s="58" t="str">
        <x:v>Sin dato</x:v>
      </x:c>
      <x:c r="W134" s="64" t="str"/>
      <x:c r="X134" s="62" t="n">
        <x:v>46271.058773564815</x:v>
      </x:c>
      <x:c r="Y134" s="58" t="str">
        <x:v>No es todavía una fuente digital; conservar como pista territorial.</x:v>
      </x:c>
    </x:row>
    <x:row r="135" ht="42" customHeight="1">
      <x:c r="A135" s="9" t="str">
        <x:v>CL-FUE-0134</x:v>
      </x:c>
      <x:c r="B135" s="7" t="str">
        <x:v>Teatro Municipal de Mejillones</x:v>
      </x:c>
      <x:c r="C135" s="7" t="str">
        <x:v>Teatro Municipal de Mejillones</x:v>
      </x:c>
      <x:c r="D135" s="7" t="str">
        <x:v>Espacio cultural del directorio oficial</x:v>
      </x:c>
      <x:c r="E135" s="7" t="str">
        <x:v>Comunal/local</x:v>
      </x:c>
      <x:c r="F135" s="7" t="str">
        <x:v>Región de Antofagasta</x:v>
      </x:c>
      <x:c r="G135" s="7" t="str">
        <x:v>Mejillones</x:v>
      </x:c>
      <x:c r="H135" s="7" t="str">
        <x:v>Teatro</x:v>
      </x:c>
      <x:c r="I135" s="7" t="str">
        <x:v>Canal digital por localizar</x:v>
      </x:c>
      <x:c r="J135" s="10" t="str"/>
      <x:c r="K135" s="10" t="str">
        <x:v>https://ciudadania.cultura.gob.cl/wp-content/uploads/2025/12/Directorio_Espacios-Culturales-2025_RC.pdf#page=34</x:v>
      </x:c>
      <x:c r="L135" s="7" t="str">
        <x:v>Referencia territorial</x:v>
      </x:c>
      <x:c r="M135" s="7" t="str">
        <x:v>No</x:v>
      </x:c>
      <x:c r="N135" s="7" t="str">
        <x:v>Baja</x:v>
      </x:c>
      <x:c r="O135" s="7" t="str">
        <x:v>Investigación manual</x:v>
      </x:c>
      <x:c r="P135" s="8" t="n">
        <x:v>46270.666666666664</x:v>
      </x:c>
      <x:c r="Q135" s="7" t="str">
        <x:v>Dirección OCR: Gofii 274, Mejillones. Ficha PDF p. 34.</x:v>
      </x:c>
      <x:c r="R135" s="58" t="str">
        <x:v>Referencia sin agenda</x:v>
      </x:c>
      <x:c r="S135" s="60" t="n">
        <x:v>0</x:v>
      </x:c>
      <x:c r="T135" s="58" t="str">
        <x:v>alta</x:v>
      </x:c>
      <x:c r="U135" s="60"/>
      <x:c r="V135" s="58" t="str">
        <x:v>Sin dato</x:v>
      </x:c>
      <x:c r="W135" s="64" t="str"/>
      <x:c r="X135" s="62" t="n">
        <x:v>46271.05877357639</x:v>
      </x:c>
      <x:c r="Y135" s="58" t="str">
        <x:v>No es todavía una fuente digital; conservar como pista territorial.</x:v>
      </x:c>
    </x:row>
    <x:row r="136" ht="42" customHeight="1">
      <x:c r="A136" s="9" t="str">
        <x:v>CL-FUE-0135</x:v>
      </x:c>
      <x:c r="B136" s="7" t="str">
        <x:v>Fundacidn de Cultura de San Pedro de Atacama</x:v>
      </x:c>
      <x:c r="C136" s="7" t="str">
        <x:v>Fundacidn de Cultura de San Pedro de Atacama</x:v>
      </x:c>
      <x:c r="D136" s="7" t="str">
        <x:v>Espacio cultural del directorio oficial</x:v>
      </x:c>
      <x:c r="E136" s="7" t="str">
        <x:v>Comunal/local</x:v>
      </x:c>
      <x:c r="F136" s="7" t="str">
        <x:v>Región de Antofagasta</x:v>
      </x:c>
      <x:c r="G136" s="7" t="str">
        <x:v>San Pedro de Atacama</x:v>
      </x:c>
      <x:c r="H136" s="7" t="str">
        <x:v>Artesanía; Artes escénicas; Educación artística; Patrimonio; Cultura comunitaria</x:v>
      </x:c>
      <x:c r="I136" s="7" t="str">
        <x:v>Canal digital por localizar</x:v>
      </x:c>
      <x:c r="J136" s="10" t="str"/>
      <x:c r="K136" s="10" t="str">
        <x:v>https://ciudadania.cultura.gob.cl/wp-content/uploads/2025/12/Directorio_Espacios-Culturales-2025_RC.pdf#page=35</x:v>
      </x:c>
      <x:c r="L136" s="7" t="str">
        <x:v>Referencia territorial</x:v>
      </x:c>
      <x:c r="M136" s="7" t="str">
        <x:v>No</x:v>
      </x:c>
      <x:c r="N136" s="7" t="str">
        <x:v>Baja</x:v>
      </x:c>
      <x:c r="O136" s="7" t="str">
        <x:v>Investigación manual</x:v>
      </x:c>
      <x:c r="P136" s="8" t="n">
        <x:v>46270.666666666664</x:v>
      </x:c>
      <x:c r="Q136" s="7" t="str">
        <x:v>Dirección OCR: Calle Tumisa 620, San Pedro de Atacama. Ficha PDF p. 35.</x:v>
      </x:c>
      <x:c r="R136" s="58" t="str">
        <x:v>Referencia sin agenda</x:v>
      </x:c>
      <x:c r="S136" s="60" t="n">
        <x:v>0</x:v>
      </x:c>
      <x:c r="T136" s="58" t="str">
        <x:v>alta</x:v>
      </x:c>
      <x:c r="U136" s="60"/>
      <x:c r="V136" s="58" t="str">
        <x:v>Sin dato</x:v>
      </x:c>
      <x:c r="W136" s="64" t="str"/>
      <x:c r="X136" s="62" t="n">
        <x:v>46271.05877357639</x:v>
      </x:c>
      <x:c r="Y136" s="58" t="str">
        <x:v>No es todavía una fuente digital; conservar como pista territorial.</x:v>
      </x:c>
    </x:row>
    <x:row r="137" ht="42" customHeight="1">
      <x:c r="A137" s="9" t="str">
        <x:v>CL-FUE-0136</x:v>
      </x:c>
      <x:c r="B137" s="7" t="str">
        <x:v>Museo de Mejillones Raul Mavrakis Morales</x:v>
      </x:c>
      <x:c r="C137" s="7" t="str">
        <x:v>Museo de Mejillones Raul Mavrakis Morales</x:v>
      </x:c>
      <x:c r="D137" s="7" t="str">
        <x:v>Espacio cultural del directorio oficial</x:v>
      </x:c>
      <x:c r="E137" s="7" t="str">
        <x:v>Comunal/local</x:v>
      </x:c>
      <x:c r="F137" s="7" t="str">
        <x:v>Región de Antofagasta</x:v>
      </x:c>
      <x:c r="G137" s="7" t="str">
        <x:v>Mejillones</x:v>
      </x:c>
      <x:c r="H137" s="7" t="str">
        <x:v>Artesanía; Artes escénicas; Artes visuales; Audiovisual; Educación artística; Interculturalidad</x:v>
      </x:c>
      <x:c r="I137" s="7" t="str">
        <x:v>Canal digital por localizar</x:v>
      </x:c>
      <x:c r="J137" s="10" t="str"/>
      <x:c r="K137" s="10" t="str">
        <x:v>https://ciudadania.cultura.gob.cl/wp-content/uploads/2025/12/Directorio_Espacios-Culturales-2025_RC.pdf#page=36</x:v>
      </x:c>
      <x:c r="L137" s="7" t="str">
        <x:v>Referencia territorial</x:v>
      </x:c>
      <x:c r="M137" s="7" t="str">
        <x:v>No</x:v>
      </x:c>
      <x:c r="N137" s="7" t="str">
        <x:v>Baja</x:v>
      </x:c>
      <x:c r="O137" s="7" t="str">
        <x:v>Investigación manual</x:v>
      </x:c>
      <x:c r="P137" s="8" t="n">
        <x:v>46270.666666666664</x:v>
      </x:c>
      <x:c r="Q137" s="7" t="str">
        <x:v>Dirección OCR: Francisco Antonio Pinto 110, Mejillones. Ficha PDF p. 36. Posible ficha duplicada o recinto compartido; revisar antes de crear una fuente independiente.</x:v>
      </x:c>
      <x:c r="R137" s="58" t="str">
        <x:v>Referencia sin agenda</x:v>
      </x:c>
      <x:c r="S137" s="60" t="n">
        <x:v>0</x:v>
      </x:c>
      <x:c r="T137" s="58" t="str">
        <x:v>alta</x:v>
      </x:c>
      <x:c r="U137" s="60"/>
      <x:c r="V137" s="58" t="str">
        <x:v>Sin dato</x:v>
      </x:c>
      <x:c r="W137" s="64" t="str"/>
      <x:c r="X137" s="62" t="n">
        <x:v>46271.05877357639</x:v>
      </x:c>
      <x:c r="Y137" s="58" t="str">
        <x:v>No es todavía una fuente digital; conservar como pista territorial.</x:v>
      </x:c>
    </x:row>
    <x:row r="138" ht="42" customHeight="1">
      <x:c r="A138" s="9" t="str">
        <x:v>CL-FUE-0137</x:v>
      </x:c>
      <x:c r="B138" s="7" t="str">
        <x:v>Teatro Municipal de Mejillones</x:v>
      </x:c>
      <x:c r="C138" s="7" t="str">
        <x:v>Teatro Municipal de Mejillones</x:v>
      </x:c>
      <x:c r="D138" s="7" t="str">
        <x:v>Espacio cultural del directorio oficial</x:v>
      </x:c>
      <x:c r="E138" s="7" t="str">
        <x:v>Comunal/local</x:v>
      </x:c>
      <x:c r="F138" s="7" t="str">
        <x:v>Región de Antofagasta</x:v>
      </x:c>
      <x:c r="G138" s="7" t="str">
        <x:v>Mejillones</x:v>
      </x:c>
      <x:c r="H138" s="7" t="str">
        <x:v>Artes escénicas; Interculturalidad; Pueblos originarios; Teatro</x:v>
      </x:c>
      <x:c r="I138" s="7" t="str">
        <x:v>Canal digital por localizar</x:v>
      </x:c>
      <x:c r="J138" s="10" t="str"/>
      <x:c r="K138" s="10" t="str">
        <x:v>https://ciudadania.cultura.gob.cl/wp-content/uploads/2025/12/Directorio_Espacios-Culturales-2025_RC.pdf#page=37</x:v>
      </x:c>
      <x:c r="L138" s="7" t="str">
        <x:v>Referencia territorial</x:v>
      </x:c>
      <x:c r="M138" s="7" t="str">
        <x:v>No</x:v>
      </x:c>
      <x:c r="N138" s="7" t="str">
        <x:v>Baja</x:v>
      </x:c>
      <x:c r="O138" s="7" t="str">
        <x:v>Investigación manual</x:v>
      </x:c>
      <x:c r="P138" s="8" t="n">
        <x:v>46270.666666666664</x:v>
      </x:c>
      <x:c r="Q138" s="7" t="str">
        <x:v>Dirección OCR: Gofii 274, Mejillones. Ficha PDF p. 37. Posible ficha duplicada o recinto compartido; revisar antes de crear una fuente independiente.</x:v>
      </x:c>
      <x:c r="R138" s="58" t="str">
        <x:v>Referencia sin agenda</x:v>
      </x:c>
      <x:c r="S138" s="60" t="n">
        <x:v>0</x:v>
      </x:c>
      <x:c r="T138" s="58" t="str">
        <x:v>alta</x:v>
      </x:c>
      <x:c r="U138" s="60"/>
      <x:c r="V138" s="58" t="str">
        <x:v>Sin dato</x:v>
      </x:c>
      <x:c r="W138" s="64" t="str"/>
      <x:c r="X138" s="62" t="n">
        <x:v>46271.05877357639</x:v>
      </x:c>
      <x:c r="Y138" s="58" t="str">
        <x:v>No es todavía una fuente digital; conservar como pista territorial.</x:v>
      </x:c>
    </x:row>
    <x:row r="139" ht="42" customHeight="1">
      <x:c r="A139" s="9" t="str">
        <x:v>CL-FUE-0138</x:v>
      </x:c>
      <x:c r="B139" s="7" t="str">
        <x:v>Teatro Municipal Jaime Guerra Yahez</x:v>
      </x:c>
      <x:c r="C139" s="7" t="str">
        <x:v>Teatro Municipal Jaime Guerra Yahez</x:v>
      </x:c>
      <x:c r="D139" s="7" t="str">
        <x:v>Espacio cultural del directorio oficial</x:v>
      </x:c>
      <x:c r="E139" s="7" t="str">
        <x:v>Comunal/local</x:v>
      </x:c>
      <x:c r="F139" s="7" t="str">
        <x:v>Región de Antofagasta</x:v>
      </x:c>
      <x:c r="G139" s="7" t="str">
        <x:v>Maria Elena</x:v>
      </x:c>
      <x:c r="H139" s="7" t="str">
        <x:v>Artes escénicas; Audiovisual; Patrimonio; Cultura comunitaria; Teatro</x:v>
      </x:c>
      <x:c r="I139" s="7" t="str">
        <x:v>Canal digital por localizar</x:v>
      </x:c>
      <x:c r="J139" s="10" t="str"/>
      <x:c r="K139" s="10" t="str">
        <x:v>https://ciudadania.cultura.gob.cl/wp-content/uploads/2025/12/Directorio_Espacios-Culturales-2025_RC.pdf#page=38</x:v>
      </x:c>
      <x:c r="L139" s="7" t="str">
        <x:v>Referencia territorial</x:v>
      </x:c>
      <x:c r="M139" s="7" t="str">
        <x:v>No</x:v>
      </x:c>
      <x:c r="N139" s="7" t="str">
        <x:v>Baja</x:v>
      </x:c>
      <x:c r="O139" s="7" t="str">
        <x:v>Investigación manual</x:v>
      </x:c>
      <x:c r="P139" s="8" t="n">
        <x:v>46270.666666666664</x:v>
      </x:c>
      <x:c r="Q139" s="7" t="str">
        <x:v>Dirección OCR: Ignacio Carrera Pinto s/n, Maria Elena. Ficha PDF p. 38. Posible ficha duplicada o recinto compartido; revisar antes de crear una fuente independiente.</x:v>
      </x:c>
      <x:c r="R139" s="58" t="str">
        <x:v>Referencia sin agenda</x:v>
      </x:c>
      <x:c r="S139" s="60" t="n">
        <x:v>0</x:v>
      </x:c>
      <x:c r="T139" s="58" t="str">
        <x:v>alta</x:v>
      </x:c>
      <x:c r="U139" s="60"/>
      <x:c r="V139" s="58" t="str">
        <x:v>Sin dato</x:v>
      </x:c>
      <x:c r="W139" s="64" t="str"/>
      <x:c r="X139" s="62" t="n">
        <x:v>46271.05877357639</x:v>
      </x:c>
      <x:c r="Y139" s="58" t="str">
        <x:v>No es todavía una fuente digital; conservar como pista territorial.</x:v>
      </x:c>
    </x:row>
    <x:row r="140" ht="42" customHeight="1">
      <x:c r="A140" s="9" t="str">
        <x:v>CL-FUE-0139</x:v>
      </x:c>
      <x:c r="B140" s="7" t="str">
        <x:v>Centro San Pedro Atacama</x:v>
      </x:c>
      <x:c r="C140" s="7" t="str">
        <x:v>Centro San Pedro Atacama</x:v>
      </x:c>
      <x:c r="D140" s="7" t="str">
        <x:v>Espacio cultural del directorio oficial</x:v>
      </x:c>
      <x:c r="E140" s="7" t="str">
        <x:v>Comunal/local</x:v>
      </x:c>
      <x:c r="F140" s="7" t="str">
        <x:v>Región de Antofagasta</x:v>
      </x:c>
      <x:c r="G140" s="7" t="str">
        <x:v>San Pedro de Atacama</x:v>
      </x:c>
      <x:c r="H140" s="7" t="str">
        <x:v>Artesanía; Artes escénicas; Educación artística; Interculturalidad; Música; Patrimonio</x:v>
      </x:c>
      <x:c r="I140" s="7" t="str">
        <x:v>Canal digital por localizar</x:v>
      </x:c>
      <x:c r="J140" s="10" t="str"/>
      <x:c r="K140" s="10" t="str">
        <x:v>https://ciudadania.cultura.gob.cl/wp-content/uploads/2025/12/Directorio_Espacios-Culturales-2025_RC.pdf#page=39</x:v>
      </x:c>
      <x:c r="L140" s="7" t="str">
        <x:v>Referencia territorial</x:v>
      </x:c>
      <x:c r="M140" s="7" t="str">
        <x:v>No</x:v>
      </x:c>
      <x:c r="N140" s="7" t="str">
        <x:v>Baja</x:v>
      </x:c>
      <x:c r="O140" s="7" t="str">
        <x:v>Investigación manual</x:v>
      </x:c>
      <x:c r="P140" s="8" t="n">
        <x:v>46270.666666666664</x:v>
      </x:c>
      <x:c r="Q140" s="7" t="str">
        <x:v>Dirección OCR: Calle Tumisa 620, San Pedro de Atacama. Ficha PDF p. 39. Posible ficha duplicada o recinto compartido; revisar antes de crear una fuente independiente.</x:v>
      </x:c>
      <x:c r="R140" s="58" t="str">
        <x:v>Referencia sin agenda</x:v>
      </x:c>
      <x:c r="S140" s="60" t="n">
        <x:v>0</x:v>
      </x:c>
      <x:c r="T140" s="58" t="str">
        <x:v>alta</x:v>
      </x:c>
      <x:c r="U140" s="60"/>
      <x:c r="V140" s="58" t="str">
        <x:v>Sin dato</x:v>
      </x:c>
      <x:c r="W140" s="64" t="str"/>
      <x:c r="X140" s="62" t="n">
        <x:v>46271.05877357639</x:v>
      </x:c>
      <x:c r="Y140" s="58" t="str">
        <x:v>No es todavía una fuente digital; conservar como pista territorial.</x:v>
      </x:c>
    </x:row>
    <x:row r="141" ht="42" customHeight="1">
      <x:c r="A141" s="9" t="str">
        <x:v>CL-FUE-0140</x:v>
      </x:c>
      <x:c r="B141" s="7" t="str">
        <x:v>Centro Cultural Jeronimo Godoy</x:v>
      </x:c>
      <x:c r="C141" s="7" t="str">
        <x:v>Centro Cultural Jeronimo Godoy</x:v>
      </x:c>
      <x:c r="D141" s="7" t="str">
        <x:v>Espacio cultural del directorio oficial</x:v>
      </x:c>
      <x:c r="E141" s="7" t="str">
        <x:v>Comunal/local</x:v>
      </x:c>
      <x:c r="F141" s="7" t="str">
        <x:v>Región de Atacama</x:v>
      </x:c>
      <x:c r="G141" s="7" t="str">
        <x:v>Alto del Carmen</x:v>
      </x:c>
      <x:c r="H141" s="7" t="str">
        <x:v>Patrimonio</x:v>
      </x:c>
      <x:c r="I141" s="7" t="str">
        <x:v>Canal digital por localizar</x:v>
      </x:c>
      <x:c r="J141" s="10" t="str"/>
      <x:c r="K141" s="10" t="str">
        <x:v>https://ciudadania.cultura.gob.cl/wp-content/uploads/2025/12/Directorio_Espacios-Culturales-2025_RC.pdf#page=40</x:v>
      </x:c>
      <x:c r="L141" s="7" t="str">
        <x:v>Referencia territorial</x:v>
      </x:c>
      <x:c r="M141" s="7" t="str">
        <x:v>No</x:v>
      </x:c>
      <x:c r="N141" s="7" t="str">
        <x:v>Baja</x:v>
      </x:c>
      <x:c r="O141" s="7" t="str">
        <x:v>Investigación manual</x:v>
      </x:c>
      <x:c r="P141" s="8" t="n">
        <x:v>46270.666666666664</x:v>
      </x:c>
      <x:c r="Q141" s="7" t="str">
        <x:v>Dirección OCR: Padre Alonso Garcia s/n, Alto del Carmen. Ficha PDF p. 40.</x:v>
      </x:c>
      <x:c r="R141" s="58" t="str">
        <x:v>Referencia sin agenda</x:v>
      </x:c>
      <x:c r="S141" s="60" t="n">
        <x:v>0</x:v>
      </x:c>
      <x:c r="T141" s="58" t="str">
        <x:v>alta</x:v>
      </x:c>
      <x:c r="U141" s="60"/>
      <x:c r="V141" s="58" t="str">
        <x:v>Sin dato</x:v>
      </x:c>
      <x:c r="W141" s="64" t="str"/>
      <x:c r="X141" s="62" t="n">
        <x:v>46271.05877357639</x:v>
      </x:c>
      <x:c r="Y141" s="58" t="str">
        <x:v>No es todavía una fuente digital; conservar como pista territorial.</x:v>
      </x:c>
    </x:row>
    <x:row r="142" ht="42" customHeight="1">
      <x:c r="A142" s="9" t="str">
        <x:v>CL-FUE-0141</x:v>
      </x:c>
      <x:c r="B142" s="7" t="str">
        <x:v>arte pin</x:v>
      </x:c>
      <x:c r="C142" s="7" t="str">
        <x:v>arte pin</x:v>
      </x:c>
      <x:c r="D142" s="7" t="str">
        <x:v>Espacio cultural del directorio oficial</x:v>
      </x:c>
      <x:c r="E142" s="7" t="str">
        <x:v>Comunal/local</x:v>
      </x:c>
      <x:c r="F142" s="7" t="str">
        <x:v>Región de Atacama</x:v>
      </x:c>
      <x:c r="G142" s="7" t="str">
        <x:v>Bahia Inglesa</x:v>
      </x:c>
      <x:c r="H142" s="7" t="str">
        <x:v>Multidisciplinario (por clasificar)</x:v>
      </x:c>
      <x:c r="I142" s="7" t="str">
        <x:v>Canal digital por localizar</x:v>
      </x:c>
      <x:c r="J142" s="10" t="str"/>
      <x:c r="K142" s="10" t="str">
        <x:v>https://ciudadania.cultura.gob.cl/wp-content/uploads/2025/12/Directorio_Espacios-Culturales-2025_RC.pdf#page=41</x:v>
      </x:c>
      <x:c r="L142" s="7" t="str">
        <x:v>Referencia territorial</x:v>
      </x:c>
      <x:c r="M142" s="7" t="str">
        <x:v>No</x:v>
      </x:c>
      <x:c r="N142" s="7" t="str">
        <x:v>Baja</x:v>
      </x:c>
      <x:c r="O142" s="7" t="str">
        <x:v>Investigación manual</x:v>
      </x:c>
      <x:c r="P142" s="8" t="n">
        <x:v>46270.666666666664</x:v>
      </x:c>
      <x:c r="Q142" s="7" t="str">
        <x:v>Dirección OCR: Av. Punta Pescadores 1400, Bahia Inglesa. Ficha PDF p. 41.</x:v>
      </x:c>
      <x:c r="R142" s="58" t="str">
        <x:v>Referencia sin agenda</x:v>
      </x:c>
      <x:c r="S142" s="60" t="n">
        <x:v>0</x:v>
      </x:c>
      <x:c r="T142" s="58" t="str">
        <x:v>alta</x:v>
      </x:c>
      <x:c r="U142" s="60"/>
      <x:c r="V142" s="58" t="str">
        <x:v>Sin dato</x:v>
      </x:c>
      <x:c r="W142" s="64" t="str"/>
      <x:c r="X142" s="62" t="n">
        <x:v>46271.05877357639</x:v>
      </x:c>
      <x:c r="Y142" s="58" t="str">
        <x:v>No es todavía una fuente digital; conservar como pista territorial.</x:v>
      </x:c>
    </x:row>
    <x:row r="143" ht="42" customHeight="1">
      <x:c r="A143" s="9" t="str">
        <x:v>CL-FUE-0142</x:v>
      </x:c>
      <x:c r="B143" s="7" t="str">
        <x:v>Ilustre Municipalidad de Tierra Amarilla</x:v>
      </x:c>
      <x:c r="C143" s="7" t="str">
        <x:v>Ilustre Municipalidad de Tierra Amarilla</x:v>
      </x:c>
      <x:c r="D143" s="7" t="str">
        <x:v>Espacio cultural del directorio oficial</x:v>
      </x:c>
      <x:c r="E143" s="7" t="str">
        <x:v>Comunal/local</x:v>
      </x:c>
      <x:c r="F143" s="7" t="str">
        <x:v>Región de Atacama</x:v>
      </x:c>
      <x:c r="G143" s="7" t="str">
        <x:v>Tierra Amarilla</x:v>
      </x:c>
      <x:c r="H143" s="7" t="str">
        <x:v>Multidisciplinario (por clasificar)</x:v>
      </x:c>
      <x:c r="I143" s="7" t="str">
        <x:v>Canal digital por localizar</x:v>
      </x:c>
      <x:c r="J143" s="10" t="str"/>
      <x:c r="K143" s="10" t="str">
        <x:v>https://ciudadania.cultura.gob.cl/wp-content/uploads/2025/12/Directorio_Espacios-Culturales-2025_RC.pdf#page=42</x:v>
      </x:c>
      <x:c r="L143" s="7" t="str">
        <x:v>Referencia territorial</x:v>
      </x:c>
      <x:c r="M143" s="7" t="str">
        <x:v>No</x:v>
      </x:c>
      <x:c r="N143" s="7" t="str">
        <x:v>Baja</x:v>
      </x:c>
      <x:c r="O143" s="7" t="str">
        <x:v>Investigación manual</x:v>
      </x:c>
      <x:c r="P143" s="8" t="n">
        <x:v>46270.666666666664</x:v>
      </x:c>
      <x:c r="Q143" s="7" t="str">
        <x:v>Dirección OCR: Avenida Miguel Lemeur 544, Tierra Amarilla. Ficha PDF p. 42.</x:v>
      </x:c>
      <x:c r="R143" s="58" t="str">
        <x:v>Referencia sin agenda</x:v>
      </x:c>
      <x:c r="S143" s="60" t="n">
        <x:v>0</x:v>
      </x:c>
      <x:c r="T143" s="58" t="str">
        <x:v>alta</x:v>
      </x:c>
      <x:c r="U143" s="60"/>
      <x:c r="V143" s="58" t="str">
        <x:v>Sin dato</x:v>
      </x:c>
      <x:c r="W143" s="64" t="str"/>
      <x:c r="X143" s="62" t="n">
        <x:v>46271.05877357639</x:v>
      </x:c>
      <x:c r="Y143" s="58" t="str">
        <x:v>No es todavía una fuente digital; conservar como pista territorial.</x:v>
      </x:c>
    </x:row>
    <x:row r="144" ht="42" customHeight="1">
      <x:c r="A144" s="9" t="str">
        <x:v>CL-FUE-0143</x:v>
      </x:c>
      <x:c r="B144" s="7" t="str">
        <x:v>Centro de Extension Cultural</x:v>
      </x:c>
      <x:c r="C144" s="7" t="str">
        <x:v>Centro de Extension Cultural</x:v>
      </x:c>
      <x:c r="D144" s="7" t="str">
        <x:v>Espacio cultural del directorio oficial</x:v>
      </x:c>
      <x:c r="E144" s="7" t="str">
        <x:v>Comunal/local</x:v>
      </x:c>
      <x:c r="F144" s="7" t="str">
        <x:v>Región de Atacama</x:v>
      </x:c>
      <x:c r="G144" s="7" t="str">
        <x:v>Copiapd</x:v>
      </x:c>
      <x:c r="H144" s="7" t="str">
        <x:v>Multidisciplinario (por clasificar)</x:v>
      </x:c>
      <x:c r="I144" s="7" t="str">
        <x:v>Canal digital por localizar</x:v>
      </x:c>
      <x:c r="J144" s="10" t="str"/>
      <x:c r="K144" s="10" t="str">
        <x:v>https://ciudadania.cultura.gob.cl/wp-content/uploads/2025/12/Directorio_Espacios-Culturales-2025_RC.pdf#page=43</x:v>
      </x:c>
      <x:c r="L144" s="7" t="str">
        <x:v>Referencia territorial</x:v>
      </x:c>
      <x:c r="M144" s="7" t="str">
        <x:v>No</x:v>
      </x:c>
      <x:c r="N144" s="7" t="str">
        <x:v>Baja</x:v>
      </x:c>
      <x:c r="O144" s="7" t="str">
        <x:v>Investigación manual</x:v>
      </x:c>
      <x:c r="P144" s="8" t="n">
        <x:v>46270.666666666664</x:v>
      </x:c>
      <x:c r="Q144" s="7" t="str">
        <x:v>Dirección OCR: O Higgins 140, Copiapd. Ficha PDF p. 43.</x:v>
      </x:c>
      <x:c r="R144" s="58" t="str">
        <x:v>Referencia sin agenda</x:v>
      </x:c>
      <x:c r="S144" s="60" t="n">
        <x:v>0</x:v>
      </x:c>
      <x:c r="T144" s="58" t="str">
        <x:v>alta</x:v>
      </x:c>
      <x:c r="U144" s="60"/>
      <x:c r="V144" s="58" t="str">
        <x:v>Sin dato</x:v>
      </x:c>
      <x:c r="W144" s="64" t="str"/>
      <x:c r="X144" s="62" t="n">
        <x:v>46271.05877357639</x:v>
      </x:c>
      <x:c r="Y144" s="58" t="str">
        <x:v>No es todavía una fuente digital; conservar como pista territorial.</x:v>
      </x:c>
    </x:row>
    <x:row r="145" ht="42" customHeight="1">
      <x:c r="A145" s="9" t="str">
        <x:v>CL-FUE-0144</x:v>
      </x:c>
      <x:c r="B145" s="7" t="str">
        <x:v>Factoria Némade</x:v>
      </x:c>
      <x:c r="C145" s="7" t="str">
        <x:v>Factoria Némade</x:v>
      </x:c>
      <x:c r="D145" s="7" t="str">
        <x:v>Espacio cultural del directorio oficial</x:v>
      </x:c>
      <x:c r="E145" s="7" t="str">
        <x:v>Comunal/local</x:v>
      </x:c>
      <x:c r="F145" s="7" t="str">
        <x:v>Región de Atacama</x:v>
      </x:c>
      <x:c r="G145" s="7" t="str">
        <x:v>Caldera</x:v>
      </x:c>
      <x:c r="H145" s="7" t="str">
        <x:v>Patrimonio</x:v>
      </x:c>
      <x:c r="I145" s="7" t="str">
        <x:v>Canal digital por localizar</x:v>
      </x:c>
      <x:c r="J145" s="10" t="str"/>
      <x:c r="K145" s="10" t="str">
        <x:v>https://ciudadania.cultura.gob.cl/wp-content/uploads/2025/12/Directorio_Espacios-Culturales-2025_RC.pdf#page=44</x:v>
      </x:c>
      <x:c r="L145" s="7" t="str">
        <x:v>Referencia territorial</x:v>
      </x:c>
      <x:c r="M145" s="7" t="str">
        <x:v>No</x:v>
      </x:c>
      <x:c r="N145" s="7" t="str">
        <x:v>Baja</x:v>
      </x:c>
      <x:c r="O145" s="7" t="str">
        <x:v>Investigación manual</x:v>
      </x:c>
      <x:c r="P145" s="8" t="n">
        <x:v>46270.666666666664</x:v>
      </x:c>
      <x:c r="Q145" s="7" t="str">
        <x:v>Dirección OCR: Cousifio 325, 2° piso, Caldera. Ficha PDF p. 44.</x:v>
      </x:c>
      <x:c r="R145" s="58" t="str">
        <x:v>Referencia sin agenda</x:v>
      </x:c>
      <x:c r="S145" s="60" t="n">
        <x:v>0</x:v>
      </x:c>
      <x:c r="T145" s="58" t="str">
        <x:v>alta</x:v>
      </x:c>
      <x:c r="U145" s="60"/>
      <x:c r="V145" s="58" t="str">
        <x:v>Sin dato</x:v>
      </x:c>
      <x:c r="W145" s="64" t="str"/>
      <x:c r="X145" s="62" t="n">
        <x:v>46271.05877357639</x:v>
      </x:c>
      <x:c r="Y145" s="58" t="str">
        <x:v>No es todavía una fuente digital; conservar como pista territorial.</x:v>
      </x:c>
    </x:row>
    <x:row r="146" ht="42" customHeight="1">
      <x:c r="A146" s="9" t="str">
        <x:v>CL-FUE-0145</x:v>
      </x:c>
      <x:c r="B146" s="7" t="str">
        <x:v>Caja Crisol</x:v>
      </x:c>
      <x:c r="C146" s="7" t="str">
        <x:v>Caja Crisol</x:v>
      </x:c>
      <x:c r="D146" s="7" t="str">
        <x:v>Espacio cultural del directorio oficial</x:v>
      </x:c>
      <x:c r="E146" s="7" t="str">
        <x:v>Comunal/local</x:v>
      </x:c>
      <x:c r="F146" s="7" t="str">
        <x:v>Región de Atacama</x:v>
      </x:c>
      <x:c r="G146" s="7" t="str">
        <x:v>Copiapé</x:v>
      </x:c>
      <x:c r="H146" s="7" t="str">
        <x:v>Artes visuales</x:v>
      </x:c>
      <x:c r="I146" s="7" t="str">
        <x:v>Canal digital por localizar</x:v>
      </x:c>
      <x:c r="J146" s="10" t="str"/>
      <x:c r="K146" s="10" t="str">
        <x:v>https://ciudadania.cultura.gob.cl/wp-content/uploads/2025/12/Directorio_Espacios-Culturales-2025_RC.pdf#page=45</x:v>
      </x:c>
      <x:c r="L146" s="7" t="str">
        <x:v>Referencia territorial</x:v>
      </x:c>
      <x:c r="M146" s="7" t="str">
        <x:v>No</x:v>
      </x:c>
      <x:c r="N146" s="7" t="str">
        <x:v>Baja</x:v>
      </x:c>
      <x:c r="O146" s="7" t="str">
        <x:v>Investigación manual</x:v>
      </x:c>
      <x:c r="P146" s="8" t="n">
        <x:v>46270.666666666664</x:v>
      </x:c>
      <x:c r="Q146" s="7" t="str">
        <x:v>Dirección OCR: Maipii 836, Copiapé. Ficha PDF p. 45.</x:v>
      </x:c>
      <x:c r="R146" s="58" t="str">
        <x:v>Referencia sin agenda</x:v>
      </x:c>
      <x:c r="S146" s="60" t="n">
        <x:v>0</x:v>
      </x:c>
      <x:c r="T146" s="58" t="str">
        <x:v>alta</x:v>
      </x:c>
      <x:c r="U146" s="60"/>
      <x:c r="V146" s="58" t="str">
        <x:v>Sin dato</x:v>
      </x:c>
      <x:c r="W146" s="64" t="str"/>
      <x:c r="X146" s="62" t="n">
        <x:v>46271.05877357639</x:v>
      </x:c>
      <x:c r="Y146" s="58" t="str">
        <x:v>No es todavía una fuente digital; conservar como pista territorial.</x:v>
      </x:c>
    </x:row>
    <x:row r="147" ht="42" customHeight="1">
      <x:c r="A147" s="9" t="str">
        <x:v>CL-FUE-0146</x:v>
      </x:c>
      <x:c r="B147" s="7" t="str">
        <x:v>Estacion Cultural Pueblo Hundido</x:v>
      </x:c>
      <x:c r="C147" s="7" t="str">
        <x:v>Estacion Cultural Pueblo Hundido</x:v>
      </x:c>
      <x:c r="D147" s="7" t="str">
        <x:v>Espacio cultural del directorio oficial</x:v>
      </x:c>
      <x:c r="E147" s="7" t="str">
        <x:v>Comunal/local</x:v>
      </x:c>
      <x:c r="F147" s="7" t="str">
        <x:v>Región de Atacama</x:v>
      </x:c>
      <x:c r="G147" s="7" t="str">
        <x:v>Diego de Almagro</x:v>
      </x:c>
      <x:c r="H147" s="7" t="str">
        <x:v>Patrimonio</x:v>
      </x:c>
      <x:c r="I147" s="7" t="str">
        <x:v>Canal digital por localizar</x:v>
      </x:c>
      <x:c r="J147" s="10" t="str"/>
      <x:c r="K147" s="10" t="str">
        <x:v>https://ciudadania.cultura.gob.cl/wp-content/uploads/2025/12/Directorio_Espacios-Culturales-2025_RC.pdf#page=46</x:v>
      </x:c>
      <x:c r="L147" s="7" t="str">
        <x:v>Referencia territorial</x:v>
      </x:c>
      <x:c r="M147" s="7" t="str">
        <x:v>No</x:v>
      </x:c>
      <x:c r="N147" s="7" t="str">
        <x:v>Baja</x:v>
      </x:c>
      <x:c r="O147" s="7" t="str">
        <x:v>Investigación manual</x:v>
      </x:c>
      <x:c r="P147" s="8" t="n">
        <x:v>46270.666666666664</x:v>
      </x:c>
      <x:c r="Q147" s="7" t="str">
        <x:v>Dirección OCR: Juan Martinez 1103, Diego de Almagro. Ficha PDF p. 46.</x:v>
      </x:c>
      <x:c r="R147" s="58" t="str">
        <x:v>Referencia sin agenda</x:v>
      </x:c>
      <x:c r="S147" s="60" t="n">
        <x:v>0</x:v>
      </x:c>
      <x:c r="T147" s="58" t="str">
        <x:v>alta</x:v>
      </x:c>
      <x:c r="U147" s="60"/>
      <x:c r="V147" s="58" t="str">
        <x:v>Sin dato</x:v>
      </x:c>
      <x:c r="W147" s="64" t="str"/>
      <x:c r="X147" s="62" t="n">
        <x:v>46271.05877357639</x:v>
      </x:c>
      <x:c r="Y147" s="58" t="str">
        <x:v>No es todavía una fuente digital; conservar como pista territorial.</x:v>
      </x:c>
    </x:row>
    <x:row r="148" ht="42" customHeight="1">
      <x:c r="A148" s="9" t="str">
        <x:v>CL-FUE-0147</x:v>
      </x:c>
      <x:c r="B148" s="7" t="str">
        <x:v>entro Cultural Atacama</x:v>
      </x:c>
      <x:c r="C148" s="7" t="str">
        <x:v>entro Cultural Atacama</x:v>
      </x:c>
      <x:c r="D148" s="7" t="str">
        <x:v>Espacio cultural del directorio oficial</x:v>
      </x:c>
      <x:c r="E148" s="7" t="str">
        <x:v>Comunal/local</x:v>
      </x:c>
      <x:c r="F148" s="7" t="str">
        <x:v>Región de Atacama</x:v>
      </x:c>
      <x:c r="G148" s="7" t="str">
        <x:v>Copiapé</x:v>
      </x:c>
      <x:c r="H148" s="7" t="str">
        <x:v>Multidisciplinario (por clasificar)</x:v>
      </x:c>
      <x:c r="I148" s="7" t="str">
        <x:v>Canal digital por localizar</x:v>
      </x:c>
      <x:c r="J148" s="10" t="str"/>
      <x:c r="K148" s="10" t="str">
        <x:v>https://ciudadania.cultura.gob.cl/wp-content/uploads/2025/12/Directorio_Espacios-Culturales-2025_RC.pdf#page=47</x:v>
      </x:c>
      <x:c r="L148" s="7" t="str">
        <x:v>Referencia territorial</x:v>
      </x:c>
      <x:c r="M148" s="7" t="str">
        <x:v>No</x:v>
      </x:c>
      <x:c r="N148" s="7" t="str">
        <x:v>Baja</x:v>
      </x:c>
      <x:c r="O148" s="7" t="str">
        <x:v>Investigación manual</x:v>
      </x:c>
      <x:c r="P148" s="8" t="n">
        <x:v>46270.666666666664</x:v>
      </x:c>
      <x:c r="Q148" s="7" t="str">
        <x:v>Dirección OCR: Alameda Manuel Antonio Matta 290, Copiapé. Ficha PDF p. 47.</x:v>
      </x:c>
      <x:c r="R148" s="58" t="str">
        <x:v>Referencia sin agenda</x:v>
      </x:c>
      <x:c r="S148" s="60" t="n">
        <x:v>0</x:v>
      </x:c>
      <x:c r="T148" s="58" t="str">
        <x:v>alta</x:v>
      </x:c>
      <x:c r="U148" s="60"/>
      <x:c r="V148" s="58" t="str">
        <x:v>Sin dato</x:v>
      </x:c>
      <x:c r="W148" s="64" t="str"/>
      <x:c r="X148" s="62" t="n">
        <x:v>46271.05877357639</x:v>
      </x:c>
      <x:c r="Y148" s="58" t="str">
        <x:v>No es todavía una fuente digital; conservar como pista territorial.</x:v>
      </x:c>
    </x:row>
    <x:row r="149" ht="42" customHeight="1">
      <x:c r="A149" s="9" t="str">
        <x:v>CL-FUE-0148</x:v>
      </x:c>
      <x:c r="B149" s="7" t="str">
        <x:v>Centro Cultural Ser Humano</x:v>
      </x:c>
      <x:c r="C149" s="7" t="str">
        <x:v>Centro Cultural Ser Humano</x:v>
      </x:c>
      <x:c r="D149" s="7" t="str">
        <x:v>Espacio cultural del directorio oficial</x:v>
      </x:c>
      <x:c r="E149" s="7" t="str">
        <x:v>Comunal/local</x:v>
      </x:c>
      <x:c r="F149" s="7" t="str">
        <x:v>Región de Atacama</x:v>
      </x:c>
      <x:c r="G149" s="7" t="str">
        <x:v>Centro Copiapé</x:v>
      </x:c>
      <x:c r="H149" s="7" t="str">
        <x:v>Multidisciplinario (por clasificar)</x:v>
      </x:c>
      <x:c r="I149" s="7" t="str">
        <x:v>Canal digital por localizar</x:v>
      </x:c>
      <x:c r="J149" s="10" t="str"/>
      <x:c r="K149" s="10" t="str">
        <x:v>https://ciudadania.cultura.gob.cl/wp-content/uploads/2025/12/Directorio_Espacios-Culturales-2025_RC.pdf#page=48</x:v>
      </x:c>
      <x:c r="L149" s="7" t="str">
        <x:v>Referencia territorial</x:v>
      </x:c>
      <x:c r="M149" s="7" t="str">
        <x:v>No</x:v>
      </x:c>
      <x:c r="N149" s="7" t="str">
        <x:v>Baja</x:v>
      </x:c>
      <x:c r="O149" s="7" t="str">
        <x:v>Investigación manual</x:v>
      </x:c>
      <x:c r="P149" s="8" t="n">
        <x:v>46270.666666666664</x:v>
      </x:c>
      <x:c r="Q149" s="7" t="str">
        <x:v>Dirección OCR: Chacabuco 671, Centro Copiapé. Ficha PDF p. 48.</x:v>
      </x:c>
      <x:c r="R149" s="58" t="str">
        <x:v>Referencia sin agenda</x:v>
      </x:c>
      <x:c r="S149" s="60" t="n">
        <x:v>0</x:v>
      </x:c>
      <x:c r="T149" s="58" t="str">
        <x:v>alta</x:v>
      </x:c>
      <x:c r="U149" s="60"/>
      <x:c r="V149" s="58" t="str">
        <x:v>Sin dato</x:v>
      </x:c>
      <x:c r="W149" s="64" t="str"/>
      <x:c r="X149" s="62" t="n">
        <x:v>46271.05877357639</x:v>
      </x:c>
      <x:c r="Y149" s="58" t="str">
        <x:v>No es todavía una fuente digital; conservar como pista territorial.</x:v>
      </x:c>
    </x:row>
    <x:row r="150" ht="42" customHeight="1">
      <x:c r="A150" s="9" t="str">
        <x:v>CL-FUE-0149</x:v>
      </x:c>
      <x:c r="B150" s="7" t="str">
        <x:v>Teatro Municipal de Ovalle</x:v>
      </x:c>
      <x:c r="C150" s="7" t="str">
        <x:v>Teatro Municipal de Ovalle</x:v>
      </x:c>
      <x:c r="D150" s="7" t="str">
        <x:v>Espacio cultural del directorio oficial</x:v>
      </x:c>
      <x:c r="E150" s="7" t="str">
        <x:v>Comunal/local</x:v>
      </x:c>
      <x:c r="F150" s="7" t="str">
        <x:v>Región de Coquimbo</x:v>
      </x:c>
      <x:c r="G150" s="7" t="str">
        <x:v>Ovalle</x:v>
      </x:c>
      <x:c r="H150" s="7" t="str">
        <x:v>Artes escénicas; Teatro</x:v>
      </x:c>
      <x:c r="I150" s="7" t="str">
        <x:v>Canal digital por localizar</x:v>
      </x:c>
      <x:c r="J150" s="10" t="str"/>
      <x:c r="K150" s="10" t="str">
        <x:v>https://ciudadania.cultura.gob.cl/wp-content/uploads/2025/12/Directorio_Espacios-Culturales-2025_RC.pdf#page=50</x:v>
      </x:c>
      <x:c r="L150" s="7" t="str">
        <x:v>Referencia territorial</x:v>
      </x:c>
      <x:c r="M150" s="7" t="str">
        <x:v>No</x:v>
      </x:c>
      <x:c r="N150" s="7" t="str">
        <x:v>Baja</x:v>
      </x:c>
      <x:c r="O150" s="7" t="str">
        <x:v>Investigación manual</x:v>
      </x:c>
      <x:c r="P150" s="8" t="n">
        <x:v>46270.666666666664</x:v>
      </x:c>
      <x:c r="Q150" s="7" t="str">
        <x:v>Dirección OCR: Carmen 252, Ovalle. Ficha PDF p. 50.</x:v>
      </x:c>
      <x:c r="R150" s="58" t="str">
        <x:v>Referencia sin agenda</x:v>
      </x:c>
      <x:c r="S150" s="60" t="n">
        <x:v>0</x:v>
      </x:c>
      <x:c r="T150" s="58" t="str">
        <x:v>alta</x:v>
      </x:c>
      <x:c r="U150" s="60"/>
      <x:c r="V150" s="58" t="str">
        <x:v>Sin dato</x:v>
      </x:c>
      <x:c r="W150" s="64" t="str"/>
      <x:c r="X150" s="62" t="n">
        <x:v>46271.05877357639</x:v>
      </x:c>
      <x:c r="Y150" s="58" t="str">
        <x:v>No es todavía una fuente digital; conservar como pista territorial.</x:v>
      </x:c>
    </x:row>
    <x:row r="151" ht="42" customHeight="1">
      <x:c r="A151" s="9" t="str">
        <x:v>CL-FUE-0150</x:v>
      </x:c>
      <x:c r="B151" s="7" t="str">
        <x:v>Centro Cuttural Palace</x:v>
      </x:c>
      <x:c r="C151" s="7" t="str">
        <x:v>Centro Cuttural Palace</x:v>
      </x:c>
      <x:c r="D151" s="7" t="str">
        <x:v>Espacio cultural del directorio oficial</x:v>
      </x:c>
      <x:c r="E151" s="7" t="str">
        <x:v>Comunal/local</x:v>
      </x:c>
      <x:c r="F151" s="7" t="str">
        <x:v>Región de Coquimbo</x:v>
      </x:c>
      <x:c r="G151" s="7" t="str">
        <x:v>Coquimbo</x:v>
      </x:c>
      <x:c r="H151" s="7" t="str">
        <x:v>Artes escénicas; Patrimonio</x:v>
      </x:c>
      <x:c r="I151" s="7" t="str">
        <x:v>Canal digital por localizar</x:v>
      </x:c>
      <x:c r="J151" s="10" t="str"/>
      <x:c r="K151" s="10" t="str">
        <x:v>https://ciudadania.cultura.gob.cl/wp-content/uploads/2025/12/Directorio_Espacios-Culturales-2025_RC.pdf#page=51</x:v>
      </x:c>
      <x:c r="L151" s="7" t="str">
        <x:v>Referencia territorial</x:v>
      </x:c>
      <x:c r="M151" s="7" t="str">
        <x:v>No</x:v>
      </x:c>
      <x:c r="N151" s="7" t="str">
        <x:v>Baja</x:v>
      </x:c>
      <x:c r="O151" s="7" t="str">
        <x:v>Investigación manual</x:v>
      </x:c>
      <x:c r="P151" s="8" t="n">
        <x:v>46270.666666666664</x:v>
      </x:c>
      <x:c r="Q151" s="7" t="str">
        <x:v>Dirección OCR: José Santiago Aldunate 599, Barrio Inglés, Coquimbo. Ficha PDF p. 51.</x:v>
      </x:c>
      <x:c r="R151" s="58" t="str">
        <x:v>Referencia sin agenda</x:v>
      </x:c>
      <x:c r="S151" s="60" t="n">
        <x:v>0</x:v>
      </x:c>
      <x:c r="T151" s="58" t="str">
        <x:v>alta</x:v>
      </x:c>
      <x:c r="U151" s="60"/>
      <x:c r="V151" s="58" t="str">
        <x:v>Sin dato</x:v>
      </x:c>
      <x:c r="W151" s="64" t="str"/>
      <x:c r="X151" s="62" t="n">
        <x:v>46271.05877357639</x:v>
      </x:c>
      <x:c r="Y151" s="58" t="str">
        <x:v>No es todavía una fuente digital; conservar como pista territorial.</x:v>
      </x:c>
    </x:row>
    <x:row r="152" ht="42" customHeight="1">
      <x:c r="A152" s="9" t="str">
        <x:v>CL-FUE-0151</x:v>
      </x:c>
      <x:c r="B152" s="7" t="str">
        <x:v>Centro de Difusién Patrimonial de Rio Hurtado</x:v>
      </x:c>
      <x:c r="C152" s="7" t="str">
        <x:v>Centro de Difusién Patrimonial de Rio Hurtado</x:v>
      </x:c>
      <x:c r="D152" s="7" t="str">
        <x:v>Espacio cultural del directorio oficial</x:v>
      </x:c>
      <x:c r="E152" s="7" t="str">
        <x:v>Comunal/local</x:v>
      </x:c>
      <x:c r="F152" s="7" t="str">
        <x:v>Región de Coquimbo</x:v>
      </x:c>
      <x:c r="G152" s="7" t="str"/>
      <x:c r="H152" s="7" t="str">
        <x:v>Multidisciplinario (por clasificar)</x:v>
      </x:c>
      <x:c r="I152" s="7" t="str">
        <x:v>Canal digital por localizar</x:v>
      </x:c>
      <x:c r="J152" s="10" t="str"/>
      <x:c r="K152" s="10" t="str">
        <x:v>https://ciudadania.cultura.gob.cl/wp-content/uploads/2025/12/Directorio_Espacios-Culturales-2025_RC.pdf#page=52</x:v>
      </x:c>
      <x:c r="L152" s="7" t="str">
        <x:v>Referencia territorial</x:v>
      </x:c>
      <x:c r="M152" s="7" t="str">
        <x:v>No</x:v>
      </x:c>
      <x:c r="N152" s="7" t="str">
        <x:v>Baja</x:v>
      </x:c>
      <x:c r="O152" s="7" t="str">
        <x:v>Investigación manual</x:v>
      </x:c>
      <x:c r="P152" s="8" t="n">
        <x:v>46270.666666666664</x:v>
      </x:c>
      <x:c r="Q152" s="7" t="str">
        <x:v>Dirección OCR: no reconocida. Ficha PDF p. 52.</x:v>
      </x:c>
      <x:c r="R152" s="58" t="str">
        <x:v>Referencia sin agenda</x:v>
      </x:c>
      <x:c r="S152" s="60" t="n">
        <x:v>0</x:v>
      </x:c>
      <x:c r="T152" s="58" t="str">
        <x:v>alta</x:v>
      </x:c>
      <x:c r="U152" s="60"/>
      <x:c r="V152" s="58" t="str">
        <x:v>Sin dato</x:v>
      </x:c>
      <x:c r="W152" s="64" t="str"/>
      <x:c r="X152" s="62" t="n">
        <x:v>46271.05877357639</x:v>
      </x:c>
      <x:c r="Y152" s="58" t="str">
        <x:v>No es todavía una fuente digital; conservar como pista territorial.</x:v>
      </x:c>
    </x:row>
    <x:row r="153" ht="42" customHeight="1">
      <x:c r="A153" s="9" t="str">
        <x:v>CL-FUE-0152</x:v>
      </x:c>
      <x:c r="B153" s="7" t="str">
        <x:v>Casa de las Palmeras Gabriela Mistral</x:v>
      </x:c>
      <x:c r="C153" s="7" t="str">
        <x:v>Casa de las Palmeras Gabriela Mistral</x:v>
      </x:c>
      <x:c r="D153" s="7" t="str">
        <x:v>Espacio cultural del directorio oficial</x:v>
      </x:c>
      <x:c r="E153" s="7" t="str">
        <x:v>Comunal/local</x:v>
      </x:c>
      <x:c r="F153" s="7" t="str">
        <x:v>Región de Coquimbo</x:v>
      </x:c>
      <x:c r="G153" s="7" t="str">
        <x:v>La Serena</x:v>
      </x:c>
      <x:c r="H153" s="7" t="str">
        <x:v>Multidisciplinario (por clasificar)</x:v>
      </x:c>
      <x:c r="I153" s="7" t="str">
        <x:v>Canal digital por localizar</x:v>
      </x:c>
      <x:c r="J153" s="10" t="str"/>
      <x:c r="K153" s="10" t="str">
        <x:v>https://ciudadania.cultura.gob.cl/wp-content/uploads/2025/12/Directorio_Espacios-Culturales-2025_RC.pdf#page=53</x:v>
      </x:c>
      <x:c r="L153" s="7" t="str">
        <x:v>Referencia territorial</x:v>
      </x:c>
      <x:c r="M153" s="7" t="str">
        <x:v>No</x:v>
      </x:c>
      <x:c r="N153" s="7" t="str">
        <x:v>Baja</x:v>
      </x:c>
      <x:c r="O153" s="7" t="str">
        <x:v>Investigación manual</x:v>
      </x:c>
      <x:c r="P153" s="8" t="n">
        <x:v>46270.666666666664</x:v>
      </x:c>
      <x:c r="Q153" s="7" t="str">
        <x:v>Dirección OCR: Av. Francisco de Aguirre 0300, La Serena. Ficha PDF p. 53.</x:v>
      </x:c>
      <x:c r="R153" s="58" t="str">
        <x:v>Referencia sin agenda</x:v>
      </x:c>
      <x:c r="S153" s="60" t="n">
        <x:v>0</x:v>
      </x:c>
      <x:c r="T153" s="58" t="str">
        <x:v>alta</x:v>
      </x:c>
      <x:c r="U153" s="60"/>
      <x:c r="V153" s="58" t="str">
        <x:v>Sin dato</x:v>
      </x:c>
      <x:c r="W153" s="64" t="str"/>
      <x:c r="X153" s="62" t="n">
        <x:v>46271.05877357639</x:v>
      </x:c>
      <x:c r="Y153" s="58" t="str">
        <x:v>No es todavía una fuente digital; conservar como pista territorial.</x:v>
      </x:c>
    </x:row>
    <x:row r="154" ht="42" customHeight="1">
      <x:c r="A154" s="9" t="str">
        <x:v>CL-FUE-0153</x:v>
      </x:c>
      <x:c r="B154" s="7" t="str">
        <x:v>Casa de la Cultura de Las Compafiias</x:v>
      </x:c>
      <x:c r="C154" s="7" t="str">
        <x:v>Casa de la Cultura de Las Compafiias</x:v>
      </x:c>
      <x:c r="D154" s="7" t="str">
        <x:v>Espacio cultural del directorio oficial</x:v>
      </x:c>
      <x:c r="E154" s="7" t="str">
        <x:v>Comunal/local</x:v>
      </x:c>
      <x:c r="F154" s="7" t="str">
        <x:v>Región de Coquimbo</x:v>
      </x:c>
      <x:c r="G154" s="7" t="str">
        <x:v>La Serena</x:v>
      </x:c>
      <x:c r="H154" s="7" t="str">
        <x:v>Multidisciplinario (por clasificar)</x:v>
      </x:c>
      <x:c r="I154" s="7" t="str">
        <x:v>Canal digital por localizar</x:v>
      </x:c>
      <x:c r="J154" s="10" t="str"/>
      <x:c r="K154" s="10" t="str">
        <x:v>https://ciudadania.cultura.gob.cl/wp-content/uploads/2025/12/Directorio_Espacios-Culturales-2025_RC.pdf#page=54</x:v>
      </x:c>
      <x:c r="L154" s="7" t="str">
        <x:v>Referencia territorial</x:v>
      </x:c>
      <x:c r="M154" s="7" t="str">
        <x:v>No</x:v>
      </x:c>
      <x:c r="N154" s="7" t="str">
        <x:v>Baja</x:v>
      </x:c>
      <x:c r="O154" s="7" t="str">
        <x:v>Investigación manual</x:v>
      </x:c>
      <x:c r="P154" s="8" t="n">
        <x:v>46270.666666666664</x:v>
      </x:c>
      <x:c r="Q154" s="7" t="str">
        <x:v>Dirección OCR: Alcalde Bernardo Pefia 4801, La Serena. Ficha PDF p. 54.</x:v>
      </x:c>
      <x:c r="R154" s="58" t="str">
        <x:v>Referencia sin agenda</x:v>
      </x:c>
      <x:c r="S154" s="60" t="n">
        <x:v>0</x:v>
      </x:c>
      <x:c r="T154" s="58" t="str">
        <x:v>alta</x:v>
      </x:c>
      <x:c r="U154" s="60"/>
      <x:c r="V154" s="58" t="str">
        <x:v>Sin dato</x:v>
      </x:c>
      <x:c r="W154" s="64" t="str"/>
      <x:c r="X154" s="62" t="n">
        <x:v>46271.05877357639</x:v>
      </x:c>
      <x:c r="Y154" s="58" t="str">
        <x:v>No es todavía una fuente digital; conservar como pista territorial.</x:v>
      </x:c>
    </x:row>
    <x:row r="155" ht="42" customHeight="1">
      <x:c r="A155" s="9" t="str">
        <x:v>CL-FUE-0154</x:v>
      </x:c>
      <x:c r="B155" s="7" t="str">
        <x:v>Centro Cultural Ex Iglesia Santa Inés</x:v>
      </x:c>
      <x:c r="C155" s="7" t="str">
        <x:v>Centro Cultural Ex Iglesia Santa Inés</x:v>
      </x:c>
      <x:c r="D155" s="7" t="str">
        <x:v>Espacio cultural del directorio oficial</x:v>
      </x:c>
      <x:c r="E155" s="7" t="str">
        <x:v>Comunal/local</x:v>
      </x:c>
      <x:c r="F155" s="7" t="str">
        <x:v>Región de Coquimbo</x:v>
      </x:c>
      <x:c r="G155" s="7" t="str">
        <x:v>La Serena</x:v>
      </x:c>
      <x:c r="H155" s="7" t="str">
        <x:v>Patrimonio</x:v>
      </x:c>
      <x:c r="I155" s="7" t="str">
        <x:v>Canal digital por localizar</x:v>
      </x:c>
      <x:c r="J155" s="10" t="str"/>
      <x:c r="K155" s="10" t="str">
        <x:v>https://ciudadania.cultura.gob.cl/wp-content/uploads/2025/12/Directorio_Espacios-Culturales-2025_RC.pdf#page=55</x:v>
      </x:c>
      <x:c r="L155" s="7" t="str">
        <x:v>Referencia territorial</x:v>
      </x:c>
      <x:c r="M155" s="7" t="str">
        <x:v>No</x:v>
      </x:c>
      <x:c r="N155" s="7" t="str">
        <x:v>Baja</x:v>
      </x:c>
      <x:c r="O155" s="7" t="str">
        <x:v>Investigación manual</x:v>
      </x:c>
      <x:c r="P155" s="8" t="n">
        <x:v>46270.666666666664</x:v>
      </x:c>
      <x:c r="Q155" s="7" t="str">
        <x:v>Dirección OCR: Calle Diego de Almagro 282, La Serena. Ficha PDF p. 55.</x:v>
      </x:c>
      <x:c r="R155" s="58" t="str">
        <x:v>Referencia sin agenda</x:v>
      </x:c>
      <x:c r="S155" s="60" t="n">
        <x:v>0</x:v>
      </x:c>
      <x:c r="T155" s="58" t="str">
        <x:v>alta</x:v>
      </x:c>
      <x:c r="U155" s="60"/>
      <x:c r="V155" s="58" t="str">
        <x:v>Sin dato</x:v>
      </x:c>
      <x:c r="W155" s="64" t="str"/>
      <x:c r="X155" s="62" t="n">
        <x:v>46271.05877357639</x:v>
      </x:c>
      <x:c r="Y155" s="58" t="str">
        <x:v>No es todavía una fuente digital; conservar como pista territorial.</x:v>
      </x:c>
    </x:row>
    <x:row r="156" ht="42" customHeight="1">
      <x:c r="A156" s="9" t="str">
        <x:v>CL-FUE-0155</x:v>
      </x:c>
      <x:c r="B156" s="7" t="str">
        <x:v>Centro Cultural Blas Alarcén</x:v>
      </x:c>
      <x:c r="C156" s="7" t="str">
        <x:v>Centro Cultural Blas Alarcén</x:v>
      </x:c>
      <x:c r="D156" s="7" t="str">
        <x:v>Espacio cultural del directorio oficial</x:v>
      </x:c>
      <x:c r="E156" s="7" t="str">
        <x:v>Comunal/local</x:v>
      </x:c>
      <x:c r="F156" s="7" t="str">
        <x:v>Región de Coquimbo</x:v>
      </x:c>
      <x:c r="G156" s="7" t="str">
        <x:v>Los Vilos</x:v>
      </x:c>
      <x:c r="H156" s="7" t="str">
        <x:v>Patrimonio</x:v>
      </x:c>
      <x:c r="I156" s="7" t="str">
        <x:v>Canal digital por localizar</x:v>
      </x:c>
      <x:c r="J156" s="10" t="str"/>
      <x:c r="K156" s="10" t="str">
        <x:v>https://ciudadania.cultura.gob.cl/wp-content/uploads/2025/12/Directorio_Espacios-Culturales-2025_RC.pdf#page=56</x:v>
      </x:c>
      <x:c r="L156" s="7" t="str">
        <x:v>Referencia territorial</x:v>
      </x:c>
      <x:c r="M156" s="7" t="str">
        <x:v>No</x:v>
      </x:c>
      <x:c r="N156" s="7" t="str">
        <x:v>Baja</x:v>
      </x:c>
      <x:c r="O156" s="7" t="str">
        <x:v>Investigación manual</x:v>
      </x:c>
      <x:c r="P156" s="8" t="n">
        <x:v>46270.666666666664</x:v>
      </x:c>
      <x:c r="Q156" s="7" t="str">
        <x:v>Dirección OCR: Ay. Salvador Allende 1413, Los Vilos. Ficha PDF p. 56.</x:v>
      </x:c>
      <x:c r="R156" s="58" t="str">
        <x:v>Referencia sin agenda</x:v>
      </x:c>
      <x:c r="S156" s="60" t="n">
        <x:v>0</x:v>
      </x:c>
      <x:c r="T156" s="58" t="str">
        <x:v>alta</x:v>
      </x:c>
      <x:c r="U156" s="60"/>
      <x:c r="V156" s="58" t="str">
        <x:v>Sin dato</x:v>
      </x:c>
      <x:c r="W156" s="64" t="str"/>
      <x:c r="X156" s="62" t="n">
        <x:v>46271.05877357639</x:v>
      </x:c>
      <x:c r="Y156" s="58" t="str">
        <x:v>No es todavía una fuente digital; conservar como pista territorial.</x:v>
      </x:c>
    </x:row>
    <x:row r="157" ht="42" customHeight="1">
      <x:c r="A157" s="9" t="str">
        <x:v>CL-FUE-0156</x:v>
      </x:c>
      <x:c r="B157" s="7" t="str">
        <x:v>Casa de Ja Cultura de Illapel</x:v>
      </x:c>
      <x:c r="C157" s="7" t="str">
        <x:v>Casa de Ja Cultura de Illapel</x:v>
      </x:c>
      <x:c r="D157" s="7" t="str">
        <x:v>Espacio cultural del directorio oficial</x:v>
      </x:c>
      <x:c r="E157" s="7" t="str">
        <x:v>Comunal/local</x:v>
      </x:c>
      <x:c r="F157" s="7" t="str">
        <x:v>Región de Coquimbo</x:v>
      </x:c>
      <x:c r="G157" s="7" t="str">
        <x:v>Illapel</x:v>
      </x:c>
      <x:c r="H157" s="7" t="str">
        <x:v>Memoria y DD.HH.</x:v>
      </x:c>
      <x:c r="I157" s="7" t="str">
        <x:v>Canal digital por localizar</x:v>
      </x:c>
      <x:c r="J157" s="10" t="str"/>
      <x:c r="K157" s="10" t="str">
        <x:v>https://ciudadania.cultura.gob.cl/wp-content/uploads/2025/12/Directorio_Espacios-Culturales-2025_RC.pdf#page=57</x:v>
      </x:c>
      <x:c r="L157" s="7" t="str">
        <x:v>Referencia territorial</x:v>
      </x:c>
      <x:c r="M157" s="7" t="str">
        <x:v>No</x:v>
      </x:c>
      <x:c r="N157" s="7" t="str">
        <x:v>Baja</x:v>
      </x:c>
      <x:c r="O157" s="7" t="str">
        <x:v>Investigación manual</x:v>
      </x:c>
      <x:c r="P157" s="8" t="n">
        <x:v>46270.666666666664</x:v>
      </x:c>
      <x:c r="Q157" s="7" t="str">
        <x:v>Dirección OCR: O'Higgins 280, Illapel. Ficha PDF p. 57.</x:v>
      </x:c>
      <x:c r="R157" s="58" t="str">
        <x:v>Referencia sin agenda</x:v>
      </x:c>
      <x:c r="S157" s="60" t="n">
        <x:v>0</x:v>
      </x:c>
      <x:c r="T157" s="58" t="str">
        <x:v>alta</x:v>
      </x:c>
      <x:c r="U157" s="60"/>
      <x:c r="V157" s="58" t="str">
        <x:v>Sin dato</x:v>
      </x:c>
      <x:c r="W157" s="64" t="str"/>
      <x:c r="X157" s="62" t="n">
        <x:v>46271.05877357639</x:v>
      </x:c>
      <x:c r="Y157" s="58" t="str">
        <x:v>No es todavía una fuente digital; conservar como pista territorial.</x:v>
      </x:c>
    </x:row>
    <x:row r="158" ht="42" customHeight="1">
      <x:c r="A158" s="9" t="str">
        <x:v>CL-FUE-0157</x:v>
      </x:c>
      <x:c r="B158" s="7" t="str">
        <x:v>Biblioteca Publica Municipal de Altovalsol</x:v>
      </x:c>
      <x:c r="C158" s="7" t="str">
        <x:v>Biblioteca Publica Municipal de Altovalsol</x:v>
      </x:c>
      <x:c r="D158" s="7" t="str">
        <x:v>Espacio cultural del directorio oficial</x:v>
      </x:c>
      <x:c r="E158" s="7" t="str">
        <x:v>Comunal/local</x:v>
      </x:c>
      <x:c r="F158" s="7" t="str">
        <x:v>Región de Coquimbo</x:v>
      </x:c>
      <x:c r="G158" s="7" t="str">
        <x:v>Altovalsol</x:v>
      </x:c>
      <x:c r="H158" s="7" t="str">
        <x:v>Multidisciplinario (por clasificar)</x:v>
      </x:c>
      <x:c r="I158" s="7" t="str">
        <x:v>Canal digital por localizar</x:v>
      </x:c>
      <x:c r="J158" s="10" t="str"/>
      <x:c r="K158" s="10" t="str">
        <x:v>https://ciudadania.cultura.gob.cl/wp-content/uploads/2025/12/Directorio_Espacios-Culturales-2025_RC.pdf#page=58</x:v>
      </x:c>
      <x:c r="L158" s="7" t="str">
        <x:v>Referencia territorial</x:v>
      </x:c>
      <x:c r="M158" s="7" t="str">
        <x:v>No</x:v>
      </x:c>
      <x:c r="N158" s="7" t="str">
        <x:v>Baja</x:v>
      </x:c>
      <x:c r="O158" s="7" t="str">
        <x:v>Investigación manual</x:v>
      </x:c>
      <x:c r="P158" s="8" t="n">
        <x:v>46270.666666666664</x:v>
      </x:c>
      <x:c r="Q158" s="7" t="str">
        <x:v>Dirección OCR: Ramén Toro Gertosio s/n, Altovalsol. Ficha PDF p. 58.</x:v>
      </x:c>
      <x:c r="R158" s="58" t="str">
        <x:v>Referencia sin agenda</x:v>
      </x:c>
      <x:c r="S158" s="60" t="n">
        <x:v>0</x:v>
      </x:c>
      <x:c r="T158" s="58" t="str">
        <x:v>alta</x:v>
      </x:c>
      <x:c r="U158" s="60"/>
      <x:c r="V158" s="58" t="str">
        <x:v>Sin dato</x:v>
      </x:c>
      <x:c r="W158" s="64" t="str"/>
      <x:c r="X158" s="62" t="n">
        <x:v>46271.05877357639</x:v>
      </x:c>
      <x:c r="Y158" s="58" t="str">
        <x:v>No es todavía una fuente digital; conservar como pista territorial.</x:v>
      </x:c>
    </x:row>
    <x:row r="159" ht="42" customHeight="1">
      <x:c r="A159" s="9" t="str">
        <x:v>CL-FUE-0158</x:v>
      </x:c>
      <x:c r="B159" s="7" t="str">
        <x:v>Casa de las Artes Rural Lucila Godoy Alcayaga</x:v>
      </x:c>
      <x:c r="C159" s="7" t="str">
        <x:v>Casa de las Artes Rural Lucila Godoy Alcayaga</x:v>
      </x:c>
      <x:c r="D159" s="7" t="str">
        <x:v>Espacio cultural del directorio oficial</x:v>
      </x:c>
      <x:c r="E159" s="7" t="str">
        <x:v>Comunal/local</x:v>
      </x:c>
      <x:c r="F159" s="7" t="str">
        <x:v>Región de Coquimbo</x:v>
      </x:c>
      <x:c r="G159" s="7" t="str">
        <x:v>Coquimbo</x:v>
      </x:c>
      <x:c r="H159" s="7" t="str">
        <x:v>Memoria y DD.HH.; Patrimonio</x:v>
      </x:c>
      <x:c r="I159" s="7" t="str">
        <x:v>Canal digital por localizar</x:v>
      </x:c>
      <x:c r="J159" s="10" t="str"/>
      <x:c r="K159" s="10" t="str">
        <x:v>https://ciudadania.cultura.gob.cl/wp-content/uploads/2025/12/Directorio_Espacios-Culturales-2025_RC.pdf#page=59</x:v>
      </x:c>
      <x:c r="L159" s="7" t="str">
        <x:v>Referencia territorial</x:v>
      </x:c>
      <x:c r="M159" s="7" t="str">
        <x:v>No</x:v>
      </x:c>
      <x:c r="N159" s="7" t="str">
        <x:v>Baja</x:v>
      </x:c>
      <x:c r="O159" s="7" t="str">
        <x:v>Investigación manual</x:v>
      </x:c>
      <x:c r="P159" s="8" t="n">
        <x:v>46270.666666666664</x:v>
      </x:c>
      <x:c r="Q159" s="7" t="str">
        <x:v>Dirección OCR: Av. La Cantera 1951, Coquimbo. Ficha PDF p. 59.</x:v>
      </x:c>
      <x:c r="R159" s="58" t="str">
        <x:v>Referencia sin agenda</x:v>
      </x:c>
      <x:c r="S159" s="60" t="n">
        <x:v>0</x:v>
      </x:c>
      <x:c r="T159" s="58" t="str">
        <x:v>alta</x:v>
      </x:c>
      <x:c r="U159" s="60"/>
      <x:c r="V159" s="58" t="str">
        <x:v>Sin dato</x:v>
      </x:c>
      <x:c r="W159" s="64" t="str"/>
      <x:c r="X159" s="62" t="n">
        <x:v>46271.05877357639</x:v>
      </x:c>
      <x:c r="Y159" s="58" t="str">
        <x:v>No es todavía una fuente digital; conservar como pista territorial.</x:v>
      </x:c>
    </x:row>
    <x:row r="160" ht="42" customHeight="1">
      <x:c r="A160" s="9" t="str">
        <x:v>CL-FUE-0159</x:v>
      </x:c>
      <x:c r="B160" s="7" t="str">
        <x:v>Biblioteca Municipal Alonso de Ercilla y Zuniga</x:v>
      </x:c>
      <x:c r="C160" s="7" t="str">
        <x:v>Biblioteca Municipal Alonso de Ercilla y Zuniga</x:v>
      </x:c>
      <x:c r="D160" s="7" t="str">
        <x:v>Espacio cultural del directorio oficial</x:v>
      </x:c>
      <x:c r="E160" s="7" t="str">
        <x:v>Comunal/local</x:v>
      </x:c>
      <x:c r="F160" s="7" t="str">
        <x:v>Región de Coquimbo</x:v>
      </x:c>
      <x:c r="G160" s="7" t="str">
        <x:v>La Serena</x:v>
      </x:c>
      <x:c r="H160" s="7" t="str">
        <x:v>Memoria y DD.HH.</x:v>
      </x:c>
      <x:c r="I160" s="7" t="str">
        <x:v>Canal digital por localizar</x:v>
      </x:c>
      <x:c r="J160" s="10" t="str"/>
      <x:c r="K160" s="10" t="str">
        <x:v>https://ciudadania.cultura.gob.cl/wp-content/uploads/2025/12/Directorio_Espacios-Culturales-2025_RC.pdf#page=60</x:v>
      </x:c>
      <x:c r="L160" s="7" t="str">
        <x:v>Referencia territorial</x:v>
      </x:c>
      <x:c r="M160" s="7" t="str">
        <x:v>No</x:v>
      </x:c>
      <x:c r="N160" s="7" t="str">
        <x:v>Baja</x:v>
      </x:c>
      <x:c r="O160" s="7" t="str">
        <x:v>Investigación manual</x:v>
      </x:c>
      <x:c r="P160" s="8" t="n">
        <x:v>46270.666666666664</x:v>
      </x:c>
      <x:c r="Q160" s="7" t="str">
        <x:v>Dirección OCR: Los Carreras 135, La Serena. Ficha PDF p. 60.</x:v>
      </x:c>
      <x:c r="R160" s="58" t="str">
        <x:v>Referencia sin agenda</x:v>
      </x:c>
      <x:c r="S160" s="60" t="n">
        <x:v>0</x:v>
      </x:c>
      <x:c r="T160" s="58" t="str">
        <x:v>alta</x:v>
      </x:c>
      <x:c r="U160" s="60"/>
      <x:c r="V160" s="58" t="str">
        <x:v>Sin dato</x:v>
      </x:c>
      <x:c r="W160" s="64" t="str"/>
      <x:c r="X160" s="62" t="n">
        <x:v>46271.05877357639</x:v>
      </x:c>
      <x:c r="Y160" s="58" t="str">
        <x:v>No es todavía una fuente digital; conservar como pista territorial.</x:v>
      </x:c>
    </x:row>
    <x:row r="161" ht="42" customHeight="1">
      <x:c r="A161" s="9" t="str">
        <x:v>CL-FUE-0160</x:v>
      </x:c>
      <x:c r="B161" s="7" t="str">
        <x:v>Centro Cultural Municipal Huayquilonko</x:v>
      </x:c>
      <x:c r="C161" s="7" t="str">
        <x:v>Centro Cultural Municipal Huayquilonko</x:v>
      </x:c>
      <x:c r="D161" s="7" t="str">
        <x:v>Espacio cultural del directorio oficial</x:v>
      </x:c>
      <x:c r="E161" s="7" t="str">
        <x:v>Comunal/local</x:v>
      </x:c>
      <x:c r="F161" s="7" t="str">
        <x:v>Región de Coquimbo</x:v>
      </x:c>
      <x:c r="G161" s="7" t="str">
        <x:v>Monte Patria</x:v>
      </x:c>
      <x:c r="H161" s="7" t="str">
        <x:v>Multidisciplinario (por clasificar)</x:v>
      </x:c>
      <x:c r="I161" s="7" t="str">
        <x:v>Canal digital por localizar</x:v>
      </x:c>
      <x:c r="J161" s="10" t="str"/>
      <x:c r="K161" s="10" t="str">
        <x:v>https://ciudadania.cultura.gob.cl/wp-content/uploads/2025/12/Directorio_Espacios-Culturales-2025_RC.pdf#page=61</x:v>
      </x:c>
      <x:c r="L161" s="7" t="str">
        <x:v>Referencia territorial</x:v>
      </x:c>
      <x:c r="M161" s="7" t="str">
        <x:v>No</x:v>
      </x:c>
      <x:c r="N161" s="7" t="str">
        <x:v>Baja</x:v>
      </x:c>
      <x:c r="O161" s="7" t="str">
        <x:v>Investigación manual</x:v>
      </x:c>
      <x:c r="P161" s="8" t="n">
        <x:v>46270.666666666664</x:v>
      </x:c>
      <x:c r="Q161" s="7" t="str">
        <x:v>Dirección OCR: Calle Ponio s/n, Monte Patria. Ficha PDF p. 61.</x:v>
      </x:c>
      <x:c r="R161" s="58" t="str">
        <x:v>Referencia sin agenda</x:v>
      </x:c>
      <x:c r="S161" s="60" t="n">
        <x:v>0</x:v>
      </x:c>
      <x:c r="T161" s="58" t="str">
        <x:v>alta</x:v>
      </x:c>
      <x:c r="U161" s="60"/>
      <x:c r="V161" s="58" t="str">
        <x:v>Sin dato</x:v>
      </x:c>
      <x:c r="W161" s="64" t="str"/>
      <x:c r="X161" s="62" t="n">
        <x:v>46271.05877357639</x:v>
      </x:c>
      <x:c r="Y161" s="58" t="str">
        <x:v>No es todavía una fuente digital; conservar como pista territorial.</x:v>
      </x:c>
    </x:row>
    <x:row r="162" ht="42" customHeight="1">
      <x:c r="A162" s="9" t="str">
        <x:v>CL-FUE-0161</x:v>
      </x:c>
      <x:c r="B162" s="7" t="str">
        <x:v>Casa Encuentro Ciudadano</x:v>
      </x:c>
      <x:c r="C162" s="7" t="str">
        <x:v>Casa Encuentro Ciudadano</x:v>
      </x:c>
      <x:c r="D162" s="7" t="str">
        <x:v>Espacio cultural del directorio oficial</x:v>
      </x:c>
      <x:c r="E162" s="7" t="str">
        <x:v>Comunal/local</x:v>
      </x:c>
      <x:c r="F162" s="7" t="str">
        <x:v>Región de Coquimbo</x:v>
      </x:c>
      <x:c r="G162" s="7" t="str">
        <x:v>Andacollo</x:v>
      </x:c>
      <x:c r="H162" s="7" t="str">
        <x:v>Artes escénicas; Artes visuales</x:v>
      </x:c>
      <x:c r="I162" s="7" t="str">
        <x:v>Canal digital por localizar</x:v>
      </x:c>
      <x:c r="J162" s="10" t="str"/>
      <x:c r="K162" s="10" t="str">
        <x:v>https://ciudadania.cultura.gob.cl/wp-content/uploads/2025/12/Directorio_Espacios-Culturales-2025_RC.pdf#page=62</x:v>
      </x:c>
      <x:c r="L162" s="7" t="str">
        <x:v>Referencia territorial</x:v>
      </x:c>
      <x:c r="M162" s="7" t="str">
        <x:v>No</x:v>
      </x:c>
      <x:c r="N162" s="7" t="str">
        <x:v>Baja</x:v>
      </x:c>
      <x:c r="O162" s="7" t="str">
        <x:v>Investigación manual</x:v>
      </x:c>
      <x:c r="P162" s="8" t="n">
        <x:v>46270.666666666664</x:v>
      </x:c>
      <x:c r="Q162" s="7" t="str">
        <x:v>Dirección OCR: Urmeneta 599, Andacollo. Ficha PDF p. 62.</x:v>
      </x:c>
      <x:c r="R162" s="58" t="str">
        <x:v>Referencia sin agenda</x:v>
      </x:c>
      <x:c r="S162" s="60" t="n">
        <x:v>0</x:v>
      </x:c>
      <x:c r="T162" s="58" t="str">
        <x:v>alta</x:v>
      </x:c>
      <x:c r="U162" s="60"/>
      <x:c r="V162" s="58" t="str">
        <x:v>Sin dato</x:v>
      </x:c>
      <x:c r="W162" s="64" t="str"/>
      <x:c r="X162" s="62" t="n">
        <x:v>46271.05877357639</x:v>
      </x:c>
      <x:c r="Y162" s="58" t="str">
        <x:v>No es todavía una fuente digital; conservar como pista territorial.</x:v>
      </x:c>
    </x:row>
    <x:row r="163" ht="42" customHeight="1">
      <x:c r="A163" s="9" t="str">
        <x:v>CL-FUE-0162</x:v>
      </x:c>
      <x:c r="B163" s="7" t="str">
        <x:v>Casa de la Cultura Punitaqui</x:v>
      </x:c>
      <x:c r="C163" s="7" t="str">
        <x:v>Casa de la Cultura Punitaqui</x:v>
      </x:c>
      <x:c r="D163" s="7" t="str">
        <x:v>Espacio cultural del directorio oficial</x:v>
      </x:c>
      <x:c r="E163" s="7" t="str">
        <x:v>Comunal/local</x:v>
      </x:c>
      <x:c r="F163" s="7" t="str">
        <x:v>Región de Coquimbo</x:v>
      </x:c>
      <x:c r="G163" s="7" t="str">
        <x:v>Punitaqui</x:v>
      </x:c>
      <x:c r="H163" s="7" t="str">
        <x:v>Patrimonio</x:v>
      </x:c>
      <x:c r="I163" s="7" t="str">
        <x:v>Canal digital por localizar</x:v>
      </x:c>
      <x:c r="J163" s="10" t="str"/>
      <x:c r="K163" s="10" t="str">
        <x:v>https://ciudadania.cultura.gob.cl/wp-content/uploads/2025/12/Directorio_Espacios-Culturales-2025_RC.pdf#page=63</x:v>
      </x:c>
      <x:c r="L163" s="7" t="str">
        <x:v>Referencia territorial</x:v>
      </x:c>
      <x:c r="M163" s="7" t="str">
        <x:v>No</x:v>
      </x:c>
      <x:c r="N163" s="7" t="str">
        <x:v>Baja</x:v>
      </x:c>
      <x:c r="O163" s="7" t="str">
        <x:v>Investigación manual</x:v>
      </x:c>
      <x:c r="P163" s="8" t="n">
        <x:v>46270.666666666664</x:v>
      </x:c>
      <x:c r="Q163" s="7" t="str">
        <x:v>Dirección OCR: Caupolican 1123, Punitaqui. Ficha PDF p. 63.</x:v>
      </x:c>
      <x:c r="R163" s="58" t="str">
        <x:v>Referencia sin agenda</x:v>
      </x:c>
      <x:c r="S163" s="60" t="n">
        <x:v>0</x:v>
      </x:c>
      <x:c r="T163" s="58" t="str">
        <x:v>alta</x:v>
      </x:c>
      <x:c r="U163" s="60"/>
      <x:c r="V163" s="58" t="str">
        <x:v>Sin dato</x:v>
      </x:c>
      <x:c r="W163" s="64" t="str"/>
      <x:c r="X163" s="62" t="n">
        <x:v>46271.05877357639</x:v>
      </x:c>
      <x:c r="Y163" s="58" t="str">
        <x:v>No es todavía una fuente digital; conservar como pista territorial.</x:v>
      </x:c>
    </x:row>
    <x:row r="164" ht="42" customHeight="1">
      <x:c r="A164" s="9" t="str">
        <x:v>CL-FUE-0163</x:v>
      </x:c>
      <x:c r="B164" s="7" t="str">
        <x:v>Centro de Extension Cultural Municipal de Ovalle</x:v>
      </x:c>
      <x:c r="C164" s="7" t="str">
        <x:v>Centro de Extension Cultural Municipal de Ovalle</x:v>
      </x:c>
      <x:c r="D164" s="7" t="str">
        <x:v>Espacio cultural del directorio oficial</x:v>
      </x:c>
      <x:c r="E164" s="7" t="str">
        <x:v>Comunal/local</x:v>
      </x:c>
      <x:c r="F164" s="7" t="str">
        <x:v>Región de Coquimbo</x:v>
      </x:c>
      <x:c r="G164" s="7" t="str">
        <x:v>Ovalle</x:v>
      </x:c>
      <x:c r="H164" s="7" t="str">
        <x:v>Educación artística</x:v>
      </x:c>
      <x:c r="I164" s="7" t="str">
        <x:v>Canal digital por localizar</x:v>
      </x:c>
      <x:c r="J164" s="10" t="str"/>
      <x:c r="K164" s="10" t="str">
        <x:v>https://ciudadania.cultura.gob.cl/wp-content/uploads/2025/12/Directorio_Espacios-Culturales-2025_RC.pdf#page=64</x:v>
      </x:c>
      <x:c r="L164" s="7" t="str">
        <x:v>Referencia territorial</x:v>
      </x:c>
      <x:c r="M164" s="7" t="str">
        <x:v>No</x:v>
      </x:c>
      <x:c r="N164" s="7" t="str">
        <x:v>Baja</x:v>
      </x:c>
      <x:c r="O164" s="7" t="str">
        <x:v>Investigación manual</x:v>
      </x:c>
      <x:c r="P164" s="8" t="n">
        <x:v>46270.666666666664</x:v>
      </x:c>
      <x:c r="Q164" s="7" t="str">
        <x:v>Dirección OCR: Independencia 479, Ovalle. Ficha PDF p. 64.</x:v>
      </x:c>
      <x:c r="R164" s="58" t="str">
        <x:v>Referencia sin agenda</x:v>
      </x:c>
      <x:c r="S164" s="60" t="n">
        <x:v>0</x:v>
      </x:c>
      <x:c r="T164" s="58" t="str">
        <x:v>alta</x:v>
      </x:c>
      <x:c r="U164" s="60"/>
      <x:c r="V164" s="58" t="str">
        <x:v>Sin dato</x:v>
      </x:c>
      <x:c r="W164" s="64" t="str"/>
      <x:c r="X164" s="62" t="n">
        <x:v>46271.05877357639</x:v>
      </x:c>
      <x:c r="Y164" s="58" t="str">
        <x:v>No es todavía una fuente digital; conservar como pista territorial.</x:v>
      </x:c>
    </x:row>
    <x:row r="165" ht="42" customHeight="1">
      <x:c r="A165" s="9" t="str">
        <x:v>CL-FUE-0164</x:v>
      </x:c>
      <x:c r="B165" s="7" t="str">
        <x:v>Teatro Municipal de La Serena</x:v>
      </x:c>
      <x:c r="C165" s="7" t="str">
        <x:v>Teatro Municipal de La Serena</x:v>
      </x:c>
      <x:c r="D165" s="7" t="str">
        <x:v>Espacio cultural del directorio oficial</x:v>
      </x:c>
      <x:c r="E165" s="7" t="str">
        <x:v>Comunal/local</x:v>
      </x:c>
      <x:c r="F165" s="7" t="str">
        <x:v>Región de Coquimbo</x:v>
      </x:c>
      <x:c r="G165" s="7" t="str">
        <x:v>La Serena</x:v>
      </x:c>
      <x:c r="H165" s="7" t="str">
        <x:v>Artes escénicas; Teatro</x:v>
      </x:c>
      <x:c r="I165" s="7" t="str">
        <x:v>Canal digital por localizar</x:v>
      </x:c>
      <x:c r="J165" s="10" t="str"/>
      <x:c r="K165" s="10" t="str">
        <x:v>https://ciudadania.cultura.gob.cl/wp-content/uploads/2025/12/Directorio_Espacios-Culturales-2025_RC.pdf#page=65</x:v>
      </x:c>
      <x:c r="L165" s="7" t="str">
        <x:v>Referencia territorial</x:v>
      </x:c>
      <x:c r="M165" s="7" t="str">
        <x:v>No</x:v>
      </x:c>
      <x:c r="N165" s="7" t="str">
        <x:v>Baja</x:v>
      </x:c>
      <x:c r="O165" s="7" t="str">
        <x:v>Investigación manual</x:v>
      </x:c>
      <x:c r="P165" s="8" t="n">
        <x:v>46270.666666666664</x:v>
      </x:c>
      <x:c r="Q165" s="7" t="str">
        <x:v>Dirección OCR: Benavente 580, La Serena. Ficha PDF p. 65.</x:v>
      </x:c>
      <x:c r="R165" s="58" t="str">
        <x:v>Referencia sin agenda</x:v>
      </x:c>
      <x:c r="S165" s="60" t="n">
        <x:v>0</x:v>
      </x:c>
      <x:c r="T165" s="58" t="str">
        <x:v>alta</x:v>
      </x:c>
      <x:c r="U165" s="60"/>
      <x:c r="V165" s="58" t="str">
        <x:v>Sin dato</x:v>
      </x:c>
      <x:c r="W165" s="64" t="str"/>
      <x:c r="X165" s="62" t="n">
        <x:v>46271.05877357639</x:v>
      </x:c>
      <x:c r="Y165" s="58" t="str">
        <x:v>No es todavía una fuente digital; conservar como pista territorial.</x:v>
      </x:c>
    </x:row>
    <x:row r="166" ht="42" customHeight="1">
      <x:c r="A166" s="9" t="str">
        <x:v>CL-FUE-0165</x:v>
      </x:c>
      <x:c r="B166" s="7" t="str">
        <x:v>Casa de las Artes de Coquimbo</x:v>
      </x:c>
      <x:c r="C166" s="7" t="str">
        <x:v>Casa de las Artes de Coquimbo</x:v>
      </x:c>
      <x:c r="D166" s="7" t="str">
        <x:v>Espacio cultural del directorio oficial</x:v>
      </x:c>
      <x:c r="E166" s="7" t="str">
        <x:v>Comunal/local</x:v>
      </x:c>
      <x:c r="F166" s="7" t="str">
        <x:v>Región de Coquimbo</x:v>
      </x:c>
      <x:c r="G166" s="7" t="str">
        <x:v>Coquimbo</x:v>
      </x:c>
      <x:c r="H166" s="7" t="str">
        <x:v>Artes escénicas</x:v>
      </x:c>
      <x:c r="I166" s="7" t="str">
        <x:v>Canal digital por localizar</x:v>
      </x:c>
      <x:c r="J166" s="10" t="str"/>
      <x:c r="K166" s="10" t="str">
        <x:v>https://ciudadania.cultura.gob.cl/wp-content/uploads/2025/12/Directorio_Espacios-Culturales-2025_RC.pdf#page=66</x:v>
      </x:c>
      <x:c r="L166" s="7" t="str">
        <x:v>Referencia territorial</x:v>
      </x:c>
      <x:c r="M166" s="7" t="str">
        <x:v>No</x:v>
      </x:c>
      <x:c r="N166" s="7" t="str">
        <x:v>Baja</x:v>
      </x:c>
      <x:c r="O166" s="7" t="str">
        <x:v>Investigación manual</x:v>
      </x:c>
      <x:c r="P166" s="8" t="n">
        <x:v>46270.666666666664</x:v>
      </x:c>
      <x:c r="Q166" s="7" t="str">
        <x:v>Dirección OCR: José Santiago Aldunate 699, Coquimbo. Ficha PDF p. 66.</x:v>
      </x:c>
      <x:c r="R166" s="58" t="str">
        <x:v>Referencia sin agenda</x:v>
      </x:c>
      <x:c r="S166" s="60" t="n">
        <x:v>0</x:v>
      </x:c>
      <x:c r="T166" s="58" t="str">
        <x:v>alta</x:v>
      </x:c>
      <x:c r="U166" s="60"/>
      <x:c r="V166" s="58" t="str">
        <x:v>Sin dato</x:v>
      </x:c>
      <x:c r="W166" s="64" t="str"/>
      <x:c r="X166" s="62" t="n">
        <x:v>46271.05877358796</x:v>
      </x:c>
      <x:c r="Y166" s="58" t="str">
        <x:v>No es todavía una fuente digital; conservar como pista territorial.</x:v>
      </x:c>
    </x:row>
    <x:row r="167" ht="42" customHeight="1">
      <x:c r="A167" s="9" t="str">
        <x:v>CL-FUE-0166</x:v>
      </x:c>
      <x:c r="B167" s="7" t="str">
        <x:v>Espacio cultural (ficha 67)</x:v>
      </x:c>
      <x:c r="C167" s="7" t="str">
        <x:v>Espacio cultural (ficha 67)</x:v>
      </x:c>
      <x:c r="D167" s="7" t="str">
        <x:v>Espacio cultural del directorio oficial</x:v>
      </x:c>
      <x:c r="E167" s="7" t="str">
        <x:v>Comunal/local</x:v>
      </x:c>
      <x:c r="F167" s="7" t="str">
        <x:v>Región de Valparaíso</x:v>
      </x:c>
      <x:c r="G167" s="7" t="str">
        <x:v>El Tabo</x:v>
      </x:c>
      <x:c r="H167" s="7" t="str">
        <x:v>Patrimonio</x:v>
      </x:c>
      <x:c r="I167" s="7" t="str">
        <x:v>Canal digital por localizar</x:v>
      </x:c>
      <x:c r="J167" s="10" t="str"/>
      <x:c r="K167" s="10" t="str">
        <x:v>https://ciudadania.cultura.gob.cl/wp-content/uploads/2025/12/Directorio_Espacios-Culturales-2025_RC.pdf#page=67</x:v>
      </x:c>
      <x:c r="L167" s="7" t="str">
        <x:v>Referencia territorial</x:v>
      </x:c>
      <x:c r="M167" s="7" t="str">
        <x:v>No</x:v>
      </x:c>
      <x:c r="N167" s="7" t="str">
        <x:v>Baja</x:v>
      </x:c>
      <x:c r="O167" s="7" t="str">
        <x:v>Investigación manual</x:v>
      </x:c>
      <x:c r="P167" s="8" t="n">
        <x:v>46270.666666666664</x:v>
      </x:c>
      <x:c r="Q167" s="7" t="str">
        <x:v>Dirección OCR: Poeta Jonds 85, El Tabo. Ficha PDF p. 67.</x:v>
      </x:c>
      <x:c r="R167" s="58" t="str">
        <x:v>Referencia sin agenda</x:v>
      </x:c>
      <x:c r="S167" s="60" t="n">
        <x:v>0</x:v>
      </x:c>
      <x:c r="T167" s="58" t="str">
        <x:v>alta</x:v>
      </x:c>
      <x:c r="U167" s="60"/>
      <x:c r="V167" s="58" t="str">
        <x:v>Sin dato</x:v>
      </x:c>
      <x:c r="W167" s="64" t="str"/>
      <x:c r="X167" s="62" t="n">
        <x:v>46271.05877358796</x:v>
      </x:c>
      <x:c r="Y167" s="58" t="str">
        <x:v>No es todavía una fuente digital; conservar como pista territorial.</x:v>
      </x:c>
    </x:row>
    <x:row r="168" ht="42" customHeight="1">
      <x:c r="A168" s="9" t="str">
        <x:v>CL-FUE-0167</x:v>
      </x:c>
      <x:c r="B168" s="7" t="str">
        <x:v>Centro Comunitario Las Cafias</x:v>
      </x:c>
      <x:c r="C168" s="7" t="str">
        <x:v>Centro Comunitario Las Cafias</x:v>
      </x:c>
      <x:c r="D168" s="7" t="str">
        <x:v>Espacio cultural del directorio oficial</x:v>
      </x:c>
      <x:c r="E168" s="7" t="str">
        <x:v>Comunal/local</x:v>
      </x:c>
      <x:c r="F168" s="7" t="str">
        <x:v>Región de Valparaíso</x:v>
      </x:c>
      <x:c r="G168" s="7" t="str">
        <x:v>Valparatso</x:v>
      </x:c>
      <x:c r="H168" s="7" t="str">
        <x:v>Multidisciplinario (por clasificar)</x:v>
      </x:c>
      <x:c r="I168" s="7" t="str">
        <x:v>Canal digital por localizar</x:v>
      </x:c>
      <x:c r="J168" s="10" t="str"/>
      <x:c r="K168" s="10" t="str">
        <x:v>https://ciudadania.cultura.gob.cl/wp-content/uploads/2025/12/Directorio_Espacios-Culturales-2025_RC.pdf#page=68</x:v>
      </x:c>
      <x:c r="L168" s="7" t="str">
        <x:v>Referencia territorial</x:v>
      </x:c>
      <x:c r="M168" s="7" t="str">
        <x:v>No</x:v>
      </x:c>
      <x:c r="N168" s="7" t="str">
        <x:v>Baja</x:v>
      </x:c>
      <x:c r="O168" s="7" t="str">
        <x:v>Investigación manual</x:v>
      </x:c>
      <x:c r="P168" s="8" t="n">
        <x:v>46270.666666666664</x:v>
      </x:c>
      <x:c r="Q168" s="7" t="str">
        <x:v>Dirección OCR: Camino Uno 1115, C® Las Cafias, Valparatso. Ficha PDF p. 68.</x:v>
      </x:c>
      <x:c r="R168" s="58" t="str">
        <x:v>Referencia sin agenda</x:v>
      </x:c>
      <x:c r="S168" s="60" t="n">
        <x:v>0</x:v>
      </x:c>
      <x:c r="T168" s="58" t="str">
        <x:v>alta</x:v>
      </x:c>
      <x:c r="U168" s="60"/>
      <x:c r="V168" s="58" t="str">
        <x:v>Sin dato</x:v>
      </x:c>
      <x:c r="W168" s="64" t="str"/>
      <x:c r="X168" s="62" t="n">
        <x:v>46271.05877358796</x:v>
      </x:c>
      <x:c r="Y168" s="58" t="str">
        <x:v>No es todavía una fuente digital; conservar como pista territorial.</x:v>
      </x:c>
    </x:row>
    <x:row r="169" ht="42" customHeight="1">
      <x:c r="A169" s="9" t="str">
        <x:v>CL-FUE-0168</x:v>
      </x:c>
      <x:c r="B169" s="7" t="str">
        <x:v>Espacio cultural (ficha 69)</x:v>
      </x:c>
      <x:c r="C169" s="7" t="str">
        <x:v>Espacio cultural (ficha 69)</x:v>
      </x:c>
      <x:c r="D169" s="7" t="str">
        <x:v>Espacio cultural del directorio oficial</x:v>
      </x:c>
      <x:c r="E169" s="7" t="str">
        <x:v>Comunal/local</x:v>
      </x:c>
      <x:c r="F169" s="7" t="str">
        <x:v>Región de Valparaíso</x:v>
      </x:c>
      <x:c r="G169" s="7" t="str">
        <x:v>Valparaiso</x:v>
      </x:c>
      <x:c r="H169" s="7" t="str">
        <x:v>Patrimonio</x:v>
      </x:c>
      <x:c r="I169" s="7" t="str">
        <x:v>Canal digital por localizar</x:v>
      </x:c>
      <x:c r="J169" s="10" t="str"/>
      <x:c r="K169" s="10" t="str">
        <x:v>https://ciudadania.cultura.gob.cl/wp-content/uploads/2025/12/Directorio_Espacios-Culturales-2025_RC.pdf#page=69</x:v>
      </x:c>
      <x:c r="L169" s="7" t="str">
        <x:v>Referencia territorial</x:v>
      </x:c>
      <x:c r="M169" s="7" t="str">
        <x:v>No</x:v>
      </x:c>
      <x:c r="N169" s="7" t="str">
        <x:v>Baja</x:v>
      </x:c>
      <x:c r="O169" s="7" t="str">
        <x:v>Investigación manual</x:v>
      </x:c>
      <x:c r="P169" s="8" t="n">
        <x:v>46270.666666666664</x:v>
      </x:c>
      <x:c r="Q169" s="7" t="str">
        <x:v>Dirección OCR: Pje. Fisher 18 y 24, C° Concepcién, Valparaiso. Ficha PDF p. 69.</x:v>
      </x:c>
      <x:c r="R169" s="58" t="str">
        <x:v>Referencia sin agenda</x:v>
      </x:c>
      <x:c r="S169" s="60" t="n">
        <x:v>0</x:v>
      </x:c>
      <x:c r="T169" s="58" t="str">
        <x:v>alta</x:v>
      </x:c>
      <x:c r="U169" s="60"/>
      <x:c r="V169" s="58" t="str">
        <x:v>Sin dato</x:v>
      </x:c>
      <x:c r="W169" s="64" t="str"/>
      <x:c r="X169" s="62" t="n">
        <x:v>46271.05877358796</x:v>
      </x:c>
      <x:c r="Y169" s="58" t="str">
        <x:v>No es todavía una fuente digital; conservar como pista territorial.</x:v>
      </x:c>
    </x:row>
    <x:row r="170" ht="42" customHeight="1">
      <x:c r="A170" s="9" t="str">
        <x:v>CL-FUE-0169</x:v>
      </x:c>
      <x:c r="B170" s="7" t="str">
        <x:v>Espacio cultural (ficha 70)</x:v>
      </x:c>
      <x:c r="C170" s="7" t="str">
        <x:v>Espacio cultural (ficha 70)</x:v>
      </x:c>
      <x:c r="D170" s="7" t="str">
        <x:v>Espacio cultural del directorio oficial</x:v>
      </x:c>
      <x:c r="E170" s="7" t="str">
        <x:v>Comunal/local</x:v>
      </x:c>
      <x:c r="F170" s="7" t="str">
        <x:v>Región de Valparaíso</x:v>
      </x:c>
      <x:c r="G170" s="7" t="str">
        <x:v>Algarrobo</x:v>
      </x:c>
      <x:c r="H170" s="7" t="str">
        <x:v>Patrimonio</x:v>
      </x:c>
      <x:c r="I170" s="7" t="str">
        <x:v>Canal digital por localizar</x:v>
      </x:c>
      <x:c r="J170" s="10" t="str"/>
      <x:c r="K170" s="10" t="str">
        <x:v>https://ciudadania.cultura.gob.cl/wp-content/uploads/2025/12/Directorio_Espacios-Culturales-2025_RC.pdf#page=70</x:v>
      </x:c>
      <x:c r="L170" s="7" t="str">
        <x:v>Referencia territorial</x:v>
      </x:c>
      <x:c r="M170" s="7" t="str">
        <x:v>No</x:v>
      </x:c>
      <x:c r="N170" s="7" t="str">
        <x:v>Baja</x:v>
      </x:c>
      <x:c r="O170" s="7" t="str">
        <x:v>Investigación manual</x:v>
      </x:c>
      <x:c r="P170" s="8" t="n">
        <x:v>46270.666666666664</x:v>
      </x:c>
      <x:c r="Q170" s="7" t="str">
        <x:v>Dirección OCR: Av. Carlos Alessandri 1633, Algarrobo. Ficha PDF p. 70.</x:v>
      </x:c>
      <x:c r="R170" s="58" t="str">
        <x:v>Referencia sin agenda</x:v>
      </x:c>
      <x:c r="S170" s="60" t="n">
        <x:v>0</x:v>
      </x:c>
      <x:c r="T170" s="58" t="str">
        <x:v>alta</x:v>
      </x:c>
      <x:c r="U170" s="60"/>
      <x:c r="V170" s="58" t="str">
        <x:v>Sin dato</x:v>
      </x:c>
      <x:c r="W170" s="64" t="str"/>
      <x:c r="X170" s="62" t="n">
        <x:v>46271.05877358796</x:v>
      </x:c>
      <x:c r="Y170" s="58" t="str">
        <x:v>No es todavía una fuente digital; conservar como pista territorial.</x:v>
      </x:c>
    </x:row>
    <x:row r="171" ht="42" customHeight="1">
      <x:c r="A171" s="9" t="str">
        <x:v>CL-FUE-0170</x:v>
      </x:c>
      <x:c r="B171" s="7" t="str">
        <x:v>Centro Cultural IPA</x:v>
      </x:c>
      <x:c r="C171" s="7" t="str">
        <x:v>Centro Cultural IPA</x:v>
      </x:c>
      <x:c r="D171" s="7" t="str">
        <x:v>Espacio cultural del directorio oficial</x:v>
      </x:c>
      <x:c r="E171" s="7" t="str">
        <x:v>Comunal/local</x:v>
      </x:c>
      <x:c r="F171" s="7" t="str">
        <x:v>Región de Valparaíso</x:v>
      </x:c>
      <x:c r="G171" s="7" t="str">
        <x:v>Valparaiso</x:v>
      </x:c>
      <x:c r="H171" s="7" t="str">
        <x:v>Multidisciplinario (por clasificar)</x:v>
      </x:c>
      <x:c r="I171" s="7" t="str">
        <x:v>Canal digital por localizar</x:v>
      </x:c>
      <x:c r="J171" s="10" t="str"/>
      <x:c r="K171" s="10" t="str">
        <x:v>https://ciudadania.cultura.gob.cl/wp-content/uploads/2025/12/Directorio_Espacios-Culturales-2025_RC.pdf#page=71</x:v>
      </x:c>
      <x:c r="L171" s="7" t="str">
        <x:v>Referencia territorial</x:v>
      </x:c>
      <x:c r="M171" s="7" t="str">
        <x:v>No</x:v>
      </x:c>
      <x:c r="N171" s="7" t="str">
        <x:v>Baja</x:v>
      </x:c>
      <x:c r="O171" s="7" t="str">
        <x:v>Investigación manual</x:v>
      </x:c>
      <x:c r="P171" s="8" t="n">
        <x:v>46270.666666666664</x:v>
      </x:c>
      <x:c r="Q171" s="7" t="str">
        <x:v>Dirección OCR: Condell 1349, Valparaiso. Ficha PDF p. 71.</x:v>
      </x:c>
      <x:c r="R171" s="58" t="str">
        <x:v>Referencia sin agenda</x:v>
      </x:c>
      <x:c r="S171" s="60" t="n">
        <x:v>0</x:v>
      </x:c>
      <x:c r="T171" s="58" t="str">
        <x:v>alta</x:v>
      </x:c>
      <x:c r="U171" s="60"/>
      <x:c r="V171" s="58" t="str">
        <x:v>Sin dato</x:v>
      </x:c>
      <x:c r="W171" s="64" t="str"/>
      <x:c r="X171" s="62" t="n">
        <x:v>46271.05877358796</x:v>
      </x:c>
      <x:c r="Y171" s="58" t="str">
        <x:v>No es todavía una fuente digital; conservar como pista territorial.</x:v>
      </x:c>
    </x:row>
    <x:row r="172" ht="42" customHeight="1">
      <x:c r="A172" s="9" t="str">
        <x:v>CL-FUE-0171</x:v>
      </x:c>
      <x:c r="B172" s="7" t="str">
        <x:v>Teatro Sala Pascal 79</x:v>
      </x:c>
      <x:c r="C172" s="7" t="str">
        <x:v>Teatro Sala Pascal 79</x:v>
      </x:c>
      <x:c r="D172" s="7" t="str">
        <x:v>Espacio cultural del directorio oficial</x:v>
      </x:c>
      <x:c r="E172" s="7" t="str">
        <x:v>Comunal/local</x:v>
      </x:c>
      <x:c r="F172" s="7" t="str">
        <x:v>Región de Valparaíso</x:v>
      </x:c>
      <x:c r="G172" s="7" t="str">
        <x:v>Valparaiso</x:v>
      </x:c>
      <x:c r="H172" s="7" t="str">
        <x:v>Teatro</x:v>
      </x:c>
      <x:c r="I172" s="7" t="str">
        <x:v>Canal digital por localizar</x:v>
      </x:c>
      <x:c r="J172" s="10" t="str"/>
      <x:c r="K172" s="10" t="str">
        <x:v>https://ciudadania.cultura.gob.cl/wp-content/uploads/2025/12/Directorio_Espacios-Culturales-2025_RC.pdf#page=72</x:v>
      </x:c>
      <x:c r="L172" s="7" t="str">
        <x:v>Referencia territorial</x:v>
      </x:c>
      <x:c r="M172" s="7" t="str">
        <x:v>No</x:v>
      </x:c>
      <x:c r="N172" s="7" t="str">
        <x:v>Baja</x:v>
      </x:c>
      <x:c r="O172" s="7" t="str">
        <x:v>Investigación manual</x:v>
      </x:c>
      <x:c r="P172" s="8" t="n">
        <x:v>46270.666666666664</x:v>
      </x:c>
      <x:c r="Q172" s="7" t="str">
        <x:v>Dirección OCR: Pascal 79, Valparaiso. Ficha PDF p. 72.</x:v>
      </x:c>
      <x:c r="R172" s="58" t="str">
        <x:v>Referencia sin agenda</x:v>
      </x:c>
      <x:c r="S172" s="60" t="n">
        <x:v>0</x:v>
      </x:c>
      <x:c r="T172" s="58" t="str">
        <x:v>alta</x:v>
      </x:c>
      <x:c r="U172" s="60"/>
      <x:c r="V172" s="58" t="str">
        <x:v>Sin dato</x:v>
      </x:c>
      <x:c r="W172" s="64" t="str"/>
      <x:c r="X172" s="62" t="n">
        <x:v>46271.05877358796</x:v>
      </x:c>
      <x:c r="Y172" s="58" t="str">
        <x:v>No es todavía una fuente digital; conservar como pista territorial.</x:v>
      </x:c>
    </x:row>
    <x:row r="173" ht="42" customHeight="1">
      <x:c r="A173" s="9" t="str">
        <x:v>CL-FUE-0172</x:v>
      </x:c>
      <x:c r="B173" s="7" t="str">
        <x:v>Espacio cultural (ficha 73)</x:v>
      </x:c>
      <x:c r="C173" s="7" t="str">
        <x:v>Espacio cultural (ficha 73)</x:v>
      </x:c>
      <x:c r="D173" s="7" t="str">
        <x:v>Espacio cultural del directorio oficial</x:v>
      </x:c>
      <x:c r="E173" s="7" t="str">
        <x:v>Comunal/local</x:v>
      </x:c>
      <x:c r="F173" s="7" t="str">
        <x:v>Región de Valparaíso</x:v>
      </x:c>
      <x:c r="G173" s="7" t="str">
        <x:v>Valparaiso</x:v>
      </x:c>
      <x:c r="H173" s="7" t="str">
        <x:v>Artes escénicas</x:v>
      </x:c>
      <x:c r="I173" s="7" t="str">
        <x:v>Canal digital por localizar</x:v>
      </x:c>
      <x:c r="J173" s="10" t="str"/>
      <x:c r="K173" s="10" t="str">
        <x:v>https://ciudadania.cultura.gob.cl/wp-content/uploads/2025/12/Directorio_Espacios-Culturales-2025_RC.pdf#page=73</x:v>
      </x:c>
      <x:c r="L173" s="7" t="str">
        <x:v>Referencia territorial</x:v>
      </x:c>
      <x:c r="M173" s="7" t="str">
        <x:v>No</x:v>
      </x:c>
      <x:c r="N173" s="7" t="str">
        <x:v>Baja</x:v>
      </x:c>
      <x:c r="O173" s="7" t="str">
        <x:v>Investigación manual</x:v>
      </x:c>
      <x:c r="P173" s="8" t="n">
        <x:v>46270.666666666664</x:v>
      </x:c>
      <x:c r="Q173" s="7" t="str">
        <x:v>Dirección OCR: Ay. Brasil 1647, Valparaiso. Ficha PDF p. 73.</x:v>
      </x:c>
      <x:c r="R173" s="58" t="str">
        <x:v>Referencia sin agenda</x:v>
      </x:c>
      <x:c r="S173" s="60" t="n">
        <x:v>0</x:v>
      </x:c>
      <x:c r="T173" s="58" t="str">
        <x:v>alta</x:v>
      </x:c>
      <x:c r="U173" s="60"/>
      <x:c r="V173" s="58" t="str">
        <x:v>Sin dato</x:v>
      </x:c>
      <x:c r="W173" s="64" t="str"/>
      <x:c r="X173" s="62" t="n">
        <x:v>46271.05877358796</x:v>
      </x:c>
      <x:c r="Y173" s="58" t="str">
        <x:v>No es todavía una fuente digital; conservar como pista territorial.</x:v>
      </x:c>
    </x:row>
    <x:row r="174" ht="42" customHeight="1">
      <x:c r="A174" s="9" t="str">
        <x:v>CL-FUE-0173</x:v>
      </x:c>
      <x:c r="B174" s="7" t="str">
        <x:v>Espacio cultural (ficha 74)</x:v>
      </x:c>
      <x:c r="C174" s="7" t="str">
        <x:v>Espacio cultural (ficha 74)</x:v>
      </x:c>
      <x:c r="D174" s="7" t="str">
        <x:v>Espacio cultural del directorio oficial</x:v>
      </x:c>
      <x:c r="E174" s="7" t="str">
        <x:v>Comunal/local</x:v>
      </x:c>
      <x:c r="F174" s="7" t="str">
        <x:v>Región de Valparaíso</x:v>
      </x:c>
      <x:c r="G174" s="7" t="str">
        <x:v>Valparaiso</x:v>
      </x:c>
      <x:c r="H174" s="7" t="str">
        <x:v>Multidisciplinario (por clasificar)</x:v>
      </x:c>
      <x:c r="I174" s="7" t="str">
        <x:v>Canal digital por localizar</x:v>
      </x:c>
      <x:c r="J174" s="10" t="str"/>
      <x:c r="K174" s="10" t="str">
        <x:v>https://ciudadania.cultura.gob.cl/wp-content/uploads/2025/12/Directorio_Espacios-Culturales-2025_RC.pdf#page=74</x:v>
      </x:c>
      <x:c r="L174" s="7" t="str">
        <x:v>Referencia territorial</x:v>
      </x:c>
      <x:c r="M174" s="7" t="str">
        <x:v>No</x:v>
      </x:c>
      <x:c r="N174" s="7" t="str">
        <x:v>Baja</x:v>
      </x:c>
      <x:c r="O174" s="7" t="str">
        <x:v>Investigación manual</x:v>
      </x:c>
      <x:c r="P174" s="8" t="n">
        <x:v>46270.666666666664</x:v>
      </x:c>
      <x:c r="Q174" s="7" t="str">
        <x:v>Dirección OCR: Calle Buenos Aires 824, Valparaiso. Ficha PDF p. 74.</x:v>
      </x:c>
      <x:c r="R174" s="58" t="str">
        <x:v>Referencia sin agenda</x:v>
      </x:c>
      <x:c r="S174" s="60" t="n">
        <x:v>0</x:v>
      </x:c>
      <x:c r="T174" s="58" t="str">
        <x:v>alta</x:v>
      </x:c>
      <x:c r="U174" s="60"/>
      <x:c r="V174" s="58" t="str">
        <x:v>Sin dato</x:v>
      </x:c>
      <x:c r="W174" s="64" t="str"/>
      <x:c r="X174" s="62" t="n">
        <x:v>46271.05877358796</x:v>
      </x:c>
      <x:c r="Y174" s="58" t="str">
        <x:v>No es todavía una fuente digital; conservar como pista territorial.</x:v>
      </x:c>
    </x:row>
    <x:row r="175" ht="42" customHeight="1">
      <x:c r="A175" s="9" t="str">
        <x:v>CL-FUE-0174</x:v>
      </x:c>
      <x:c r="B175" s="7" t="str">
        <x:v>Camara Lucida</x:v>
      </x:c>
      <x:c r="C175" s="7" t="str">
        <x:v>Camara Lucida</x:v>
      </x:c>
      <x:c r="D175" s="7" t="str">
        <x:v>Espacio cultural del directorio oficial</x:v>
      </x:c>
      <x:c r="E175" s="7" t="str">
        <x:v>Comunal/local</x:v>
      </x:c>
      <x:c r="F175" s="7" t="str">
        <x:v>Región de Valparaíso</x:v>
      </x:c>
      <x:c r="G175" s="7" t="str">
        <x:v>Valparaiso</x:v>
      </x:c>
      <x:c r="H175" s="7" t="str">
        <x:v>Multidisciplinario (por clasificar)</x:v>
      </x:c>
      <x:c r="I175" s="7" t="str">
        <x:v>Canal digital por localizar</x:v>
      </x:c>
      <x:c r="J175" s="10" t="str"/>
      <x:c r="K175" s="10" t="str">
        <x:v>https://ciudadania.cultura.gob.cl/wp-content/uploads/2025/12/Directorio_Espacios-Culturales-2025_RC.pdf#page=75</x:v>
      </x:c>
      <x:c r="L175" s="7" t="str">
        <x:v>Referencia territorial</x:v>
      </x:c>
      <x:c r="M175" s="7" t="str">
        <x:v>No</x:v>
      </x:c>
      <x:c r="N175" s="7" t="str">
        <x:v>Baja</x:v>
      </x:c>
      <x:c r="O175" s="7" t="str">
        <x:v>Investigación manual</x:v>
      </x:c>
      <x:c r="P175" s="8" t="n">
        <x:v>46270.666666666664</x:v>
      </x:c>
      <x:c r="Q175" s="7" t="str">
        <x:v>Dirección OCR: Almirante Montt 44, Valparaiso. Ficha PDF p. 75.</x:v>
      </x:c>
      <x:c r="R175" s="58" t="str">
        <x:v>Referencia sin agenda</x:v>
      </x:c>
      <x:c r="S175" s="60" t="n">
        <x:v>0</x:v>
      </x:c>
      <x:c r="T175" s="58" t="str">
        <x:v>alta</x:v>
      </x:c>
      <x:c r="U175" s="60"/>
      <x:c r="V175" s="58" t="str">
        <x:v>Sin dato</x:v>
      </x:c>
      <x:c r="W175" s="64" t="str"/>
      <x:c r="X175" s="62" t="n">
        <x:v>46271.05877358796</x:v>
      </x:c>
      <x:c r="Y175" s="58" t="str">
        <x:v>No es todavía una fuente digital; conservar como pista territorial.</x:v>
      </x:c>
    </x:row>
    <x:row r="176" ht="42" customHeight="1">
      <x:c r="A176" s="9" t="str">
        <x:v>CL-FUE-0175</x:v>
      </x:c>
      <x:c r="B176" s="7" t="str">
        <x:v>Espacio cultural (ficha 76)</x:v>
      </x:c>
      <x:c r="C176" s="7" t="str">
        <x:v>Espacio cultural (ficha 76)</x:v>
      </x:c>
      <x:c r="D176" s="7" t="str">
        <x:v>Espacio cultural del directorio oficial</x:v>
      </x:c>
      <x:c r="E176" s="7" t="str">
        <x:v>Comunal/local</x:v>
      </x:c>
      <x:c r="F176" s="7" t="str">
        <x:v>Región de Valparaíso</x:v>
      </x:c>
      <x:c r="G176" s="7" t="str">
        <x:v>Valparaiso</x:v>
      </x:c>
      <x:c r="H176" s="7" t="str">
        <x:v>Multidisciplinario (por clasificar)</x:v>
      </x:c>
      <x:c r="I176" s="7" t="str">
        <x:v>Canal digital por localizar</x:v>
      </x:c>
      <x:c r="J176" s="10" t="str"/>
      <x:c r="K176" s="10" t="str">
        <x:v>https://ciudadania.cultura.gob.cl/wp-content/uploads/2025/12/Directorio_Espacios-Culturales-2025_RC.pdf#page=76</x:v>
      </x:c>
      <x:c r="L176" s="7" t="str">
        <x:v>Referencia territorial</x:v>
      </x:c>
      <x:c r="M176" s="7" t="str">
        <x:v>No</x:v>
      </x:c>
      <x:c r="N176" s="7" t="str">
        <x:v>Baja</x:v>
      </x:c>
      <x:c r="O176" s="7" t="str">
        <x:v>Investigación manual</x:v>
      </x:c>
      <x:c r="P176" s="8" t="n">
        <x:v>46270.666666666664</x:v>
      </x:c>
      <x:c r="Q176" s="7" t="str">
        <x:v>Dirección OCR: Pasaje Gélvez 167, Valparaiso. Ficha PDF p. 76.</x:v>
      </x:c>
      <x:c r="R176" s="58" t="str">
        <x:v>Referencia sin agenda</x:v>
      </x:c>
      <x:c r="S176" s="60" t="n">
        <x:v>0</x:v>
      </x:c>
      <x:c r="T176" s="58" t="str">
        <x:v>alta</x:v>
      </x:c>
      <x:c r="U176" s="60"/>
      <x:c r="V176" s="58" t="str">
        <x:v>Sin dato</x:v>
      </x:c>
      <x:c r="W176" s="64" t="str"/>
      <x:c r="X176" s="62" t="n">
        <x:v>46271.05877358796</x:v>
      </x:c>
      <x:c r="Y176" s="58" t="str">
        <x:v>No es todavía una fuente digital; conservar como pista territorial.</x:v>
      </x:c>
    </x:row>
    <x:row r="177" ht="42" customHeight="1">
      <x:c r="A177" s="9" t="str">
        <x:v>CL-FUE-0176</x:v>
      </x:c>
      <x:c r="B177" s="7" t="str">
        <x:v>Parque Cultural de Valparaiso</x:v>
      </x:c>
      <x:c r="C177" s="7" t="str">
        <x:v>Parque Cultural de Valparaiso</x:v>
      </x:c>
      <x:c r="D177" s="7" t="str">
        <x:v>Espacio cultural del directorio oficial</x:v>
      </x:c>
      <x:c r="E177" s="7" t="str">
        <x:v>Comunal/local</x:v>
      </x:c>
      <x:c r="F177" s="7" t="str">
        <x:v>Región de Valparaíso</x:v>
      </x:c>
      <x:c r="G177" s="7" t="str">
        <x:v>Valparaiso</x:v>
      </x:c>
      <x:c r="H177" s="7" t="str">
        <x:v>Memoria y DD.HH.; Patrimonio</x:v>
      </x:c>
      <x:c r="I177" s="7" t="str">
        <x:v>Canal digital por localizar</x:v>
      </x:c>
      <x:c r="J177" s="10" t="str"/>
      <x:c r="K177" s="10" t="str">
        <x:v>https://ciudadania.cultura.gob.cl/wp-content/uploads/2025/12/Directorio_Espacios-Culturales-2025_RC.pdf#page=77</x:v>
      </x:c>
      <x:c r="L177" s="7" t="str">
        <x:v>Referencia territorial</x:v>
      </x:c>
      <x:c r="M177" s="7" t="str">
        <x:v>No</x:v>
      </x:c>
      <x:c r="N177" s="7" t="str">
        <x:v>Baja</x:v>
      </x:c>
      <x:c r="O177" s="7" t="str">
        <x:v>Investigación manual</x:v>
      </x:c>
      <x:c r="P177" s="8" t="n">
        <x:v>46270.666666666664</x:v>
      </x:c>
      <x:c r="Q177" s="7" t="str">
        <x:v>Dirección OCR: CArcel 471, C® Cércel, Valparaiso. Ficha PDF p. 77.</x:v>
      </x:c>
      <x:c r="R177" s="58" t="str">
        <x:v>Referencia sin agenda</x:v>
      </x:c>
      <x:c r="S177" s="60" t="n">
        <x:v>0</x:v>
      </x:c>
      <x:c r="T177" s="58" t="str">
        <x:v>alta</x:v>
      </x:c>
      <x:c r="U177" s="60"/>
      <x:c r="V177" s="58" t="str">
        <x:v>Sin dato</x:v>
      </x:c>
      <x:c r="W177" s="64" t="str"/>
      <x:c r="X177" s="62" t="n">
        <x:v>46271.05877358796</x:v>
      </x:c>
      <x:c r="Y177" s="58" t="str">
        <x:v>No es todavía una fuente digital; conservar como pista territorial.</x:v>
      </x:c>
    </x:row>
    <x:row r="178" ht="42" customHeight="1">
      <x:c r="A178" s="9" t="str">
        <x:v>CL-FUE-0177</x:v>
      </x:c>
      <x:c r="B178" s="7" t="str">
        <x:v>Museo y Centro Cultural</x:v>
      </x:c>
      <x:c r="C178" s="7" t="str">
        <x:v>Museo y Centro Cultural</x:v>
      </x:c>
      <x:c r="D178" s="7" t="str">
        <x:v>Espacio cultural del directorio oficial</x:v>
      </x:c>
      <x:c r="E178" s="7" t="str">
        <x:v>Comunal/local</x:v>
      </x:c>
      <x:c r="F178" s="7" t="str">
        <x:v>Región de Valparaíso</x:v>
      </x:c>
      <x:c r="G178" s="7" t="str"/>
      <x:c r="H178" s="7" t="str">
        <x:v>Memoria y DD.HH.; Patrimonio</x:v>
      </x:c>
      <x:c r="I178" s="7" t="str">
        <x:v>Canal digital por localizar</x:v>
      </x:c>
      <x:c r="J178" s="10" t="str"/>
      <x:c r="K178" s="10" t="str">
        <x:v>https://ciudadania.cultura.gob.cl/wp-content/uploads/2025/12/Directorio_Espacios-Culturales-2025_RC.pdf#page=78</x:v>
      </x:c>
      <x:c r="L178" s="7" t="str">
        <x:v>Referencia territorial</x:v>
      </x:c>
      <x:c r="M178" s="7" t="str">
        <x:v>No</x:v>
      </x:c>
      <x:c r="N178" s="7" t="str">
        <x:v>Baja</x:v>
      </x:c>
      <x:c r="O178" s="7" t="str">
        <x:v>Investigación manual</x:v>
      </x:c>
      <x:c r="P178" s="8" t="n">
        <x:v>46270.666666666664</x:v>
      </x:c>
      <x:c r="Q178" s="7" t="str">
        <x:v>Dirección OCR: ejecutivo ce J. Ficha PDF p. 78.</x:v>
      </x:c>
      <x:c r="R178" s="58" t="str">
        <x:v>Referencia sin agenda</x:v>
      </x:c>
      <x:c r="S178" s="60" t="n">
        <x:v>0</x:v>
      </x:c>
      <x:c r="T178" s="58" t="str">
        <x:v>alta</x:v>
      </x:c>
      <x:c r="U178" s="60"/>
      <x:c r="V178" s="58" t="str">
        <x:v>Sin dato</x:v>
      </x:c>
      <x:c r="W178" s="64" t="str"/>
      <x:c r="X178" s="62" t="n">
        <x:v>46271.05877358796</x:v>
      </x:c>
      <x:c r="Y178" s="58" t="str">
        <x:v>No es todavía una fuente digital; conservar como pista territorial.</x:v>
      </x:c>
    </x:row>
    <x:row r="179" ht="42" customHeight="1">
      <x:c r="A179" s="9" t="str">
        <x:v>CL-FUE-0178</x:v>
      </x:c>
      <x:c r="B179" s="7" t="str">
        <x:v>Centro Cultural Municipal</x:v>
      </x:c>
      <x:c r="C179" s="7" t="str">
        <x:v>Centro Cultural Municipal</x:v>
      </x:c>
      <x:c r="D179" s="7" t="str">
        <x:v>Espacio cultural del directorio oficial</x:v>
      </x:c>
      <x:c r="E179" s="7" t="str">
        <x:v>Comunal/local</x:v>
      </x:c>
      <x:c r="F179" s="7" t="str">
        <x:v>Región de Valparaíso</x:v>
      </x:c>
      <x:c r="G179" s="7" t="str">
        <x:v>Quillota</x:v>
      </x:c>
      <x:c r="H179" s="7" t="str">
        <x:v>Patrimonio</x:v>
      </x:c>
      <x:c r="I179" s="7" t="str">
        <x:v>Canal digital por localizar</x:v>
      </x:c>
      <x:c r="J179" s="10" t="str"/>
      <x:c r="K179" s="10" t="str">
        <x:v>https://ciudadania.cultura.gob.cl/wp-content/uploads/2025/12/Directorio_Espacios-Culturales-2025_RC.pdf#page=79</x:v>
      </x:c>
      <x:c r="L179" s="7" t="str">
        <x:v>Referencia territorial</x:v>
      </x:c>
      <x:c r="M179" s="7" t="str">
        <x:v>No</x:v>
      </x:c>
      <x:c r="N179" s="7" t="str">
        <x:v>Baja</x:v>
      </x:c>
      <x:c r="O179" s="7" t="str">
        <x:v>Investigación manual</x:v>
      </x:c>
      <x:c r="P179" s="8" t="n">
        <x:v>46270.666666666664</x:v>
      </x:c>
      <x:c r="Q179" s="7" t="str">
        <x:v>Dirección OCR: Avenida 21 de Mayo 200, Quillota. Ficha PDF p. 79.</x:v>
      </x:c>
      <x:c r="R179" s="58" t="str">
        <x:v>Referencia sin agenda</x:v>
      </x:c>
      <x:c r="S179" s="60" t="n">
        <x:v>0</x:v>
      </x:c>
      <x:c r="T179" s="58" t="str">
        <x:v>alta</x:v>
      </x:c>
      <x:c r="U179" s="60"/>
      <x:c r="V179" s="58" t="str">
        <x:v>Sin dato</x:v>
      </x:c>
      <x:c r="W179" s="64" t="str"/>
      <x:c r="X179" s="62" t="n">
        <x:v>46271.05877358796</x:v>
      </x:c>
      <x:c r="Y179" s="58" t="str">
        <x:v>No es todavía una fuente digital; conservar como pista territorial.</x:v>
      </x:c>
    </x:row>
    <x:row r="180" ht="42" customHeight="1">
      <x:c r="A180" s="9" t="str">
        <x:v>CL-FUE-0179</x:v>
      </x:c>
      <x:c r="B180" s="7" t="str">
        <x:v>Teatro Museo del Titere y el Payaso</x:v>
      </x:c>
      <x:c r="C180" s="7" t="str">
        <x:v>Teatro Museo del Titere y el Payaso</x:v>
      </x:c>
      <x:c r="D180" s="7" t="str">
        <x:v>Espacio cultural del directorio oficial</x:v>
      </x:c>
      <x:c r="E180" s="7" t="str">
        <x:v>Comunal/local</x:v>
      </x:c>
      <x:c r="F180" s="7" t="str">
        <x:v>Región de Valparaíso</x:v>
      </x:c>
      <x:c r="G180" s="7" t="str">
        <x:v>Valparaiso</x:v>
      </x:c>
      <x:c r="H180" s="7" t="str">
        <x:v>Teatro</x:v>
      </x:c>
      <x:c r="I180" s="7" t="str">
        <x:v>Canal digital por localizar</x:v>
      </x:c>
      <x:c r="J180" s="10" t="str"/>
      <x:c r="K180" s="10" t="str">
        <x:v>https://ciudadania.cultura.gob.cl/wp-content/uploads/2025/12/Directorio_Espacios-Culturales-2025_RC.pdf#page=80</x:v>
      </x:c>
      <x:c r="L180" s="7" t="str">
        <x:v>Referencia territorial</x:v>
      </x:c>
      <x:c r="M180" s="7" t="str">
        <x:v>No</x:v>
      </x:c>
      <x:c r="N180" s="7" t="str">
        <x:v>Baja</x:v>
      </x:c>
      <x:c r="O180" s="7" t="str">
        <x:v>Investigación manual</x:v>
      </x:c>
      <x:c r="P180" s="8" t="n">
        <x:v>46270.666666666664</x:v>
      </x:c>
      <x:c r="Q180" s="7" t="str">
        <x:v>Dirección OCR: Cumming 795, Valparaiso. Ficha PDF p. 80.</x:v>
      </x:c>
      <x:c r="R180" s="58" t="str">
        <x:v>Referencia sin agenda</x:v>
      </x:c>
      <x:c r="S180" s="60" t="n">
        <x:v>0</x:v>
      </x:c>
      <x:c r="T180" s="58" t="str">
        <x:v>alta</x:v>
      </x:c>
      <x:c r="U180" s="60"/>
      <x:c r="V180" s="58" t="str">
        <x:v>Sin dato</x:v>
      </x:c>
      <x:c r="W180" s="64" t="str"/>
      <x:c r="X180" s="62" t="n">
        <x:v>46271.05877358796</x:v>
      </x:c>
      <x:c r="Y180" s="58" t="str">
        <x:v>No es todavía una fuente digital; conservar como pista territorial.</x:v>
      </x:c>
    </x:row>
    <x:row r="181" ht="42" customHeight="1">
      <x:c r="A181" s="9" t="str">
        <x:v>CL-FUE-0180</x:v>
      </x:c>
      <x:c r="B181" s="7" t="str">
        <x:v>Espacio cultural (ficha 81)</x:v>
      </x:c>
      <x:c r="C181" s="7" t="str">
        <x:v>Espacio cultural (ficha 81)</x:v>
      </x:c>
      <x:c r="D181" s="7" t="str">
        <x:v>Espacio cultural del directorio oficial</x:v>
      </x:c>
      <x:c r="E181" s="7" t="str">
        <x:v>Comunal/local</x:v>
      </x:c>
      <x:c r="F181" s="7" t="str">
        <x:v>Región de Valparaíso</x:v>
      </x:c>
      <x:c r="G181" s="7" t="str">
        <x:v>Santo Domingo</x:v>
      </x:c>
      <x:c r="H181" s="7" t="str">
        <x:v>Patrimonio</x:v>
      </x:c>
      <x:c r="I181" s="7" t="str">
        <x:v>Canal digital por localizar</x:v>
      </x:c>
      <x:c r="J181" s="10" t="str"/>
      <x:c r="K181" s="10" t="str">
        <x:v>https://ciudadania.cultura.gob.cl/wp-content/uploads/2025/12/Directorio_Espacios-Culturales-2025_RC.pdf#page=81</x:v>
      </x:c>
      <x:c r="L181" s="7" t="str">
        <x:v>Referencia territorial</x:v>
      </x:c>
      <x:c r="M181" s="7" t="str">
        <x:v>No</x:v>
      </x:c>
      <x:c r="N181" s="7" t="str">
        <x:v>Baja</x:v>
      </x:c>
      <x:c r="O181" s="7" t="str">
        <x:v>Investigación manual</x:v>
      </x:c>
      <x:c r="P181" s="8" t="n">
        <x:v>46270.666666666664</x:v>
      </x:c>
      <x:c r="Q181" s="7" t="str">
        <x:v>Dirección OCR: Los Jazmines 29, Santo Domingo. Ficha PDF p. 81.</x:v>
      </x:c>
      <x:c r="R181" s="58" t="str">
        <x:v>Referencia sin agenda</x:v>
      </x:c>
      <x:c r="S181" s="60" t="n">
        <x:v>0</x:v>
      </x:c>
      <x:c r="T181" s="58" t="str">
        <x:v>alta</x:v>
      </x:c>
      <x:c r="U181" s="60"/>
      <x:c r="V181" s="58" t="str">
        <x:v>Sin dato</x:v>
      </x:c>
      <x:c r="W181" s="64" t="str"/>
      <x:c r="X181" s="62" t="n">
        <x:v>46271.05877358796</x:v>
      </x:c>
      <x:c r="Y181" s="58" t="str">
        <x:v>No es todavía una fuente digital; conservar como pista territorial.</x:v>
      </x:c>
    </x:row>
    <x:row r="182" ht="42" customHeight="1">
      <x:c r="A182" s="9" t="str">
        <x:v>CL-FUE-0181</x:v>
      </x:c>
      <x:c r="B182" s="7" t="str">
        <x:v>Saja de Arte Vifia del Mar</x:v>
      </x:c>
      <x:c r="C182" s="7" t="str">
        <x:v>Saja de Arte Vifia del Mar</x:v>
      </x:c>
      <x:c r="D182" s="7" t="str">
        <x:v>Espacio cultural del directorio oficial</x:v>
      </x:c>
      <x:c r="E182" s="7" t="str">
        <x:v>Comunal/local</x:v>
      </x:c>
      <x:c r="F182" s="7" t="str">
        <x:v>Región de Valparaíso</x:v>
      </x:c>
      <x:c r="G182" s="7" t="str">
        <x:v>Vifia Del Mar</x:v>
      </x:c>
      <x:c r="H182" s="7" t="str">
        <x:v>Patrimonio</x:v>
      </x:c>
      <x:c r="I182" s="7" t="str">
        <x:v>Canal digital por localizar</x:v>
      </x:c>
      <x:c r="J182" s="10" t="str"/>
      <x:c r="K182" s="10" t="str">
        <x:v>https://ciudadania.cultura.gob.cl/wp-content/uploads/2025/12/Directorio_Espacios-Culturales-2025_RC.pdf#page=82</x:v>
      </x:c>
      <x:c r="L182" s="7" t="str">
        <x:v>Referencia territorial</x:v>
      </x:c>
      <x:c r="M182" s="7" t="str">
        <x:v>No</x:v>
      </x:c>
      <x:c r="N182" s="7" t="str">
        <x:v>Baja</x:v>
      </x:c>
      <x:c r="O182" s="7" t="str">
        <x:v>Investigación manual</x:v>
      </x:c>
      <x:c r="P182" s="8" t="n">
        <x:v>46270.666666666664</x:v>
      </x:c>
      <x:c r="Q182" s="7" t="str">
        <x:v>Dirección OCR: Arlegui 683, Vifia Del Mar. Ficha PDF p. 82.</x:v>
      </x:c>
      <x:c r="R182" s="58" t="str">
        <x:v>Referencia sin agenda</x:v>
      </x:c>
      <x:c r="S182" s="60" t="n">
        <x:v>0</x:v>
      </x:c>
      <x:c r="T182" s="58" t="str">
        <x:v>alta</x:v>
      </x:c>
      <x:c r="U182" s="60"/>
      <x:c r="V182" s="58" t="str">
        <x:v>Sin dato</x:v>
      </x:c>
      <x:c r="W182" s="64" t="str"/>
      <x:c r="X182" s="62" t="n">
        <x:v>46271.05877358796</x:v>
      </x:c>
      <x:c r="Y182" s="58" t="str">
        <x:v>No es todavía una fuente digital; conservar como pista territorial.</x:v>
      </x:c>
    </x:row>
    <x:row r="183" ht="42" customHeight="1">
      <x:c r="A183" s="9" t="str">
        <x:v>CL-FUE-0182</x:v>
      </x:c>
      <x:c r="B183" s="7" t="str">
        <x:v>Espacio cultural (ficha 83)</x:v>
      </x:c>
      <x:c r="C183" s="7" t="str">
        <x:v>Espacio cultural (ficha 83)</x:v>
      </x:c>
      <x:c r="D183" s="7" t="str">
        <x:v>Espacio cultural del directorio oficial</x:v>
      </x:c>
      <x:c r="E183" s="7" t="str">
        <x:v>Comunal/local</x:v>
      </x:c>
      <x:c r="F183" s="7" t="str">
        <x:v>Región de Valparaíso</x:v>
      </x:c>
      <x:c r="G183" s="7" t="str">
        <x:v>El Quisco</x:v>
      </x:c>
      <x:c r="H183" s="7" t="str">
        <x:v>Patrimonio</x:v>
      </x:c>
      <x:c r="I183" s="7" t="str">
        <x:v>Canal digital por localizar</x:v>
      </x:c>
      <x:c r="J183" s="10" t="str"/>
      <x:c r="K183" s="10" t="str">
        <x:v>https://ciudadania.cultura.gob.cl/wp-content/uploads/2025/12/Directorio_Espacios-Culturales-2025_RC.pdf#page=83</x:v>
      </x:c>
      <x:c r="L183" s="7" t="str">
        <x:v>Referencia territorial</x:v>
      </x:c>
      <x:c r="M183" s="7" t="str">
        <x:v>No</x:v>
      </x:c>
      <x:c r="N183" s="7" t="str">
        <x:v>Baja</x:v>
      </x:c>
      <x:c r="O183" s="7" t="str">
        <x:v>Investigación manual</x:v>
      </x:c>
      <x:c r="P183" s="8" t="n">
        <x:v>46270.666666666664</x:v>
      </x:c>
      <x:c r="Q183" s="7" t="str">
        <x:v>Dirección OCR: Isidoro Dubournais 2021, El Quisco. Ficha PDF p. 83.</x:v>
      </x:c>
      <x:c r="R183" s="58" t="str">
        <x:v>Referencia sin agenda</x:v>
      </x:c>
      <x:c r="S183" s="60" t="n">
        <x:v>0</x:v>
      </x:c>
      <x:c r="T183" s="58" t="str">
        <x:v>alta</x:v>
      </x:c>
      <x:c r="U183" s="60"/>
      <x:c r="V183" s="58" t="str">
        <x:v>Sin dato</x:v>
      </x:c>
      <x:c r="W183" s="64" t="str"/>
      <x:c r="X183" s="62" t="n">
        <x:v>46271.05877358796</x:v>
      </x:c>
      <x:c r="Y183" s="58" t="str">
        <x:v>No es todavía una fuente digital; conservar como pista territorial.</x:v>
      </x:c>
    </x:row>
    <x:row r="184" ht="42" customHeight="1">
      <x:c r="A184" s="9" t="str">
        <x:v>CL-FUE-0183</x:v>
      </x:c>
      <x:c r="B184" s="7" t="str">
        <x:v>Espacio La Compafiia</x:v>
      </x:c>
      <x:c r="C184" s="7" t="str">
        <x:v>Espacio La Compafiia</x:v>
      </x:c>
      <x:c r="D184" s="7" t="str">
        <x:v>Espacio cultural del directorio oficial</x:v>
      </x:c>
      <x:c r="E184" s="7" t="str">
        <x:v>Comunal/local</x:v>
      </x:c>
      <x:c r="F184" s="7" t="str">
        <x:v>Región de Valparaíso</x:v>
      </x:c>
      <x:c r="G184" s="7" t="str">
        <x:v>Valparaiso</x:v>
      </x:c>
      <x:c r="H184" s="7" t="str">
        <x:v>Artes visuales; Educación artística</x:v>
      </x:c>
      <x:c r="I184" s="7" t="str">
        <x:v>Canal digital por localizar</x:v>
      </x:c>
      <x:c r="J184" s="10" t="str"/>
      <x:c r="K184" s="10" t="str">
        <x:v>https://ciudadania.cultura.gob.cl/wp-content/uploads/2025/12/Directorio_Espacios-Culturales-2025_RC.pdf#page=84</x:v>
      </x:c>
      <x:c r="L184" s="7" t="str">
        <x:v>Referencia territorial</x:v>
      </x:c>
      <x:c r="M184" s="7" t="str">
        <x:v>No</x:v>
      </x:c>
      <x:c r="N184" s="7" t="str">
        <x:v>Baja</x:v>
      </x:c>
      <x:c r="O184" s="7" t="str">
        <x:v>Investigación manual</x:v>
      </x:c>
      <x:c r="P184" s="8" t="n">
        <x:v>46270.666666666664</x:v>
      </x:c>
      <x:c r="Q184" s="7" t="str">
        <x:v>Dirección OCR: Eusebio Lillo 409, Valparaiso. Ficha PDF p. 84.</x:v>
      </x:c>
      <x:c r="R184" s="58" t="str">
        <x:v>Referencia sin agenda</x:v>
      </x:c>
      <x:c r="S184" s="60" t="n">
        <x:v>0</x:v>
      </x:c>
      <x:c r="T184" s="58" t="str">
        <x:v>alta</x:v>
      </x:c>
      <x:c r="U184" s="60"/>
      <x:c r="V184" s="58" t="str">
        <x:v>Sin dato</x:v>
      </x:c>
      <x:c r="W184" s="64" t="str"/>
      <x:c r="X184" s="62" t="n">
        <x:v>46271.05877358796</x:v>
      </x:c>
      <x:c r="Y184" s="58" t="str">
        <x:v>No es todavía una fuente digital; conservar como pista territorial.</x:v>
      </x:c>
    </x:row>
    <x:row r="185" ht="42" customHeight="1">
      <x:c r="A185" s="9" t="str">
        <x:v>CL-FUE-0184</x:v>
      </x:c>
      <x:c r="B185" s="7" t="str">
        <x:v>Corporacion Municipal de Cultura y Turismo</x:v>
      </x:c>
      <x:c r="C185" s="7" t="str">
        <x:v>Corporacion Municipal de Cultura y Turismo</x:v>
      </x:c>
      <x:c r="D185" s="7" t="str">
        <x:v>Espacio cultural del directorio oficial</x:v>
      </x:c>
      <x:c r="E185" s="7" t="str">
        <x:v>Comunal/local</x:v>
      </x:c>
      <x:c r="F185" s="7" t="str">
        <x:v>Región de Valparaíso</x:v>
      </x:c>
      <x:c r="G185" s="7" t="str">
        <x:v>Quintero</x:v>
      </x:c>
      <x:c r="H185" s="7" t="str">
        <x:v>Interculturalidad; Patrimonio</x:v>
      </x:c>
      <x:c r="I185" s="7" t="str">
        <x:v>Canal digital por localizar</x:v>
      </x:c>
      <x:c r="J185" s="10" t="str"/>
      <x:c r="K185" s="10" t="str">
        <x:v>https://ciudadania.cultura.gob.cl/wp-content/uploads/2025/12/Directorio_Espacios-Culturales-2025_RC.pdf#page=85</x:v>
      </x:c>
      <x:c r="L185" s="7" t="str">
        <x:v>Referencia territorial</x:v>
      </x:c>
      <x:c r="M185" s="7" t="str">
        <x:v>No</x:v>
      </x:c>
      <x:c r="N185" s="7" t="str">
        <x:v>Baja</x:v>
      </x:c>
      <x:c r="O185" s="7" t="str">
        <x:v>Investigación manual</x:v>
      </x:c>
      <x:c r="P185" s="8" t="n">
        <x:v>46270.666666666664</x:v>
      </x:c>
      <x:c r="Q185" s="7" t="str">
        <x:v>Dirección OCR: Av. Normandie 1780, Quintero. Ficha PDF p. 85.</x:v>
      </x:c>
      <x:c r="R185" s="58" t="str">
        <x:v>Referencia sin agenda</x:v>
      </x:c>
      <x:c r="S185" s="60" t="n">
        <x:v>0</x:v>
      </x:c>
      <x:c r="T185" s="58" t="str">
        <x:v>alta</x:v>
      </x:c>
      <x:c r="U185" s="60"/>
      <x:c r="V185" s="58" t="str">
        <x:v>Sin dato</x:v>
      </x:c>
      <x:c r="W185" s="64" t="str"/>
      <x:c r="X185" s="62" t="n">
        <x:v>46271.05877358796</x:v>
      </x:c>
      <x:c r="Y185" s="58" t="str">
        <x:v>No es todavía una fuente digital; conservar como pista territorial.</x:v>
      </x:c>
    </x:row>
    <x:row r="186" ht="42" customHeight="1">
      <x:c r="A186" s="9" t="str">
        <x:v>CL-FUE-0185</x:v>
      </x:c>
      <x:c r="B186" s="7" t="str">
        <x:v>Espacio cultural (ficha 86)</x:v>
      </x:c>
      <x:c r="C186" s="7" t="str">
        <x:v>Espacio cultural (ficha 86)</x:v>
      </x:c>
      <x:c r="D186" s="7" t="str">
        <x:v>Espacio cultural del directorio oficial</x:v>
      </x:c>
      <x:c r="E186" s="7" t="str">
        <x:v>Comunal/local</x:v>
      </x:c>
      <x:c r="F186" s="7" t="str">
        <x:v>Región de Valparaíso</x:v>
      </x:c>
      <x:c r="G186" s="7" t="str">
        <x:v>Valparaiso</x:v>
      </x:c>
      <x:c r="H186" s="7" t="str">
        <x:v>Multidisciplinario (por clasificar)</x:v>
      </x:c>
      <x:c r="I186" s="7" t="str">
        <x:v>Canal digital por localizar</x:v>
      </x:c>
      <x:c r="J186" s="10" t="str"/>
      <x:c r="K186" s="10" t="str">
        <x:v>https://ciudadania.cultura.gob.cl/wp-content/uploads/2025/12/Directorio_Espacios-Culturales-2025_RC.pdf#page=86</x:v>
      </x:c>
      <x:c r="L186" s="7" t="str">
        <x:v>Referencia territorial</x:v>
      </x:c>
      <x:c r="M186" s="7" t="str">
        <x:v>No</x:v>
      </x:c>
      <x:c r="N186" s="7" t="str">
        <x:v>Baja</x:v>
      </x:c>
      <x:c r="O186" s="7" t="str">
        <x:v>Investigación manual</x:v>
      </x:c>
      <x:c r="P186" s="8" t="n">
        <x:v>46270.666666666664</x:v>
      </x:c>
      <x:c r="Q186" s="7" t="str">
        <x:v>Dirección OCR: Santa Isabel 739, Valparaiso. Ficha PDF p. 86.</x:v>
      </x:c>
      <x:c r="R186" s="58" t="str">
        <x:v>Referencia sin agenda</x:v>
      </x:c>
      <x:c r="S186" s="60" t="n">
        <x:v>0</x:v>
      </x:c>
      <x:c r="T186" s="58" t="str">
        <x:v>alta</x:v>
      </x:c>
      <x:c r="U186" s="60"/>
      <x:c r="V186" s="58" t="str">
        <x:v>Sin dato</x:v>
      </x:c>
      <x:c r="W186" s="64" t="str"/>
      <x:c r="X186" s="62" t="n">
        <x:v>46271.05877358796</x:v>
      </x:c>
      <x:c r="Y186" s="58" t="str">
        <x:v>No es todavía una fuente digital; conservar como pista territorial.</x:v>
      </x:c>
    </x:row>
    <x:row r="187" ht="42" customHeight="1">
      <x:c r="A187" s="9" t="str">
        <x:v>CL-FUE-0186</x:v>
      </x:c>
      <x:c r="B187" s="7" t="str">
        <x:v>Espacio cultural (ficha 87)</x:v>
      </x:c>
      <x:c r="C187" s="7" t="str">
        <x:v>Espacio cultural (ficha 87)</x:v>
      </x:c>
      <x:c r="D187" s="7" t="str">
        <x:v>Espacio cultural del directorio oficial</x:v>
      </x:c>
      <x:c r="E187" s="7" t="str">
        <x:v>Comunal/local</x:v>
      </x:c>
      <x:c r="F187" s="7" t="str">
        <x:v>Región de Valparaíso</x:v>
      </x:c>
      <x:c r="G187" s="7" t="str">
        <x:v>Valparaiso</x:v>
      </x:c>
      <x:c r="H187" s="7" t="str">
        <x:v>Multidisciplinario (por clasificar)</x:v>
      </x:c>
      <x:c r="I187" s="7" t="str">
        <x:v>Canal digital por localizar</x:v>
      </x:c>
      <x:c r="J187" s="10" t="str"/>
      <x:c r="K187" s="10" t="str">
        <x:v>https://ciudadania.cultura.gob.cl/wp-content/uploads/2025/12/Directorio_Espacios-Culturales-2025_RC.pdf#page=87</x:v>
      </x:c>
      <x:c r="L187" s="7" t="str">
        <x:v>Referencia territorial</x:v>
      </x:c>
      <x:c r="M187" s="7" t="str">
        <x:v>No</x:v>
      </x:c>
      <x:c r="N187" s="7" t="str">
        <x:v>Baja</x:v>
      </x:c>
      <x:c r="O187" s="7" t="str">
        <x:v>Investigación manual</x:v>
      </x:c>
      <x:c r="P187" s="8" t="n">
        <x:v>46270.666666666664</x:v>
      </x:c>
      <x:c r="Q187" s="7" t="str">
        <x:v>Dirección OCR: Santa Inés 38, Valparaiso. Ficha PDF p. 87.</x:v>
      </x:c>
      <x:c r="R187" s="58" t="str">
        <x:v>Referencia sin agenda</x:v>
      </x:c>
      <x:c r="S187" s="60" t="n">
        <x:v>0</x:v>
      </x:c>
      <x:c r="T187" s="58" t="str">
        <x:v>alta</x:v>
      </x:c>
      <x:c r="U187" s="60"/>
      <x:c r="V187" s="58" t="str">
        <x:v>Sin dato</x:v>
      </x:c>
      <x:c r="W187" s="64" t="str"/>
      <x:c r="X187" s="62" t="n">
        <x:v>46271.05877358796</x:v>
      </x:c>
      <x:c r="Y187" s="58" t="str">
        <x:v>No es todavía una fuente digital; conservar como pista territorial.</x:v>
      </x:c>
    </x:row>
    <x:row r="188" ht="42" customHeight="1">
      <x:c r="A188" s="9" t="str">
        <x:v>CL-FUE-0187</x:v>
      </x:c>
      <x:c r="B188" s="7" t="str">
        <x:v>Espacio cultural (ficha 88)</x:v>
      </x:c>
      <x:c r="C188" s="7" t="str">
        <x:v>Espacio cultural (ficha 88)</x:v>
      </x:c>
      <x:c r="D188" s="7" t="str">
        <x:v>Espacio cultural del directorio oficial</x:v>
      </x:c>
      <x:c r="E188" s="7" t="str">
        <x:v>Comunal/local</x:v>
      </x:c>
      <x:c r="F188" s="7" t="str">
        <x:v>Región de Valparaíso</x:v>
      </x:c>
      <x:c r="G188" s="7" t="str">
        <x:v>Conan</x:v>
      </x:c>
      <x:c r="H188" s="7" t="str">
        <x:v>Artes escénicas; Patrimonio</x:v>
      </x:c>
      <x:c r="I188" s="7" t="str">
        <x:v>Canal digital por localizar</x:v>
      </x:c>
      <x:c r="J188" s="10" t="str"/>
      <x:c r="K188" s="10" t="str">
        <x:v>https://ciudadania.cultura.gob.cl/wp-content/uploads/2025/12/Directorio_Espacios-Culturales-2025_RC.pdf#page=88</x:v>
      </x:c>
      <x:c r="L188" s="7" t="str">
        <x:v>Referencia territorial</x:v>
      </x:c>
      <x:c r="M188" s="7" t="str">
        <x:v>No</x:v>
      </x:c>
      <x:c r="N188" s="7" t="str">
        <x:v>Baja</x:v>
      </x:c>
      <x:c r="O188" s="7" t="str">
        <x:v>Investigación manual</x:v>
      </x:c>
      <x:c r="P188" s="8" t="n">
        <x:v>46270.666666666664</x:v>
      </x:c>
      <x:c r="Q188" s="7" t="str">
        <x:v>Dirección OCR: Av. Concén Refiaca Oriente s/n esq Calle 11, Conan. Ficha PDF p. 88.</x:v>
      </x:c>
      <x:c r="R188" s="58" t="str">
        <x:v>Referencia sin agenda</x:v>
      </x:c>
      <x:c r="S188" s="60" t="n">
        <x:v>0</x:v>
      </x:c>
      <x:c r="T188" s="58" t="str">
        <x:v>alta</x:v>
      </x:c>
      <x:c r="U188" s="60"/>
      <x:c r="V188" s="58" t="str">
        <x:v>Sin dato</x:v>
      </x:c>
      <x:c r="W188" s="64" t="str"/>
      <x:c r="X188" s="62" t="n">
        <x:v>46271.05877358796</x:v>
      </x:c>
      <x:c r="Y188" s="58" t="str">
        <x:v>No es todavía una fuente digital; conservar como pista territorial.</x:v>
      </x:c>
    </x:row>
    <x:row r="189" ht="42" customHeight="1">
      <x:c r="A189" s="9" t="str">
        <x:v>CL-FUE-0188</x:v>
      </x:c>
      <x:c r="B189" s="7" t="str">
        <x:v>Espacio cultural (ficha 89)</x:v>
      </x:c>
      <x:c r="C189" s="7" t="str">
        <x:v>Espacio cultural (ficha 89)</x:v>
      </x:c>
      <x:c r="D189" s="7" t="str">
        <x:v>Espacio cultural del directorio oficial</x:v>
      </x:c>
      <x:c r="E189" s="7" t="str">
        <x:v>Comunal/local</x:v>
      </x:c>
      <x:c r="F189" s="7" t="str">
        <x:v>Región de Valparaíso</x:v>
      </x:c>
      <x:c r="G189" s="7" t="str">
        <x:v>San Antonio</x:v>
      </x:c>
      <x:c r="H189" s="7" t="str">
        <x:v>Patrimonio</x:v>
      </x:c>
      <x:c r="I189" s="7" t="str">
        <x:v>Canal digital por localizar</x:v>
      </x:c>
      <x:c r="J189" s="10" t="str"/>
      <x:c r="K189" s="10" t="str">
        <x:v>https://ciudadania.cultura.gob.cl/wp-content/uploads/2025/12/Directorio_Espacios-Culturales-2025_RC.pdf#page=89</x:v>
      </x:c>
      <x:c r="L189" s="7" t="str">
        <x:v>Referencia territorial</x:v>
      </x:c>
      <x:c r="M189" s="7" t="str">
        <x:v>No</x:v>
      </x:c>
      <x:c r="N189" s="7" t="str">
        <x:v>Baja</x:v>
      </x:c>
      <x:c r="O189" s="7" t="str">
        <x:v>Investigación manual</x:v>
      </x:c>
      <x:c r="P189" s="8" t="n">
        <x:v>46270.666666666664</x:v>
      </x:c>
      <x:c r="Q189" s="7" t="str">
        <x:v>Dirección OCR: Antofagasta 545, San Antonio. Ficha PDF p. 89.</x:v>
      </x:c>
      <x:c r="R189" s="58" t="str">
        <x:v>Referencia sin agenda</x:v>
      </x:c>
      <x:c r="S189" s="60" t="n">
        <x:v>0</x:v>
      </x:c>
      <x:c r="T189" s="58" t="str">
        <x:v>alta</x:v>
      </x:c>
      <x:c r="U189" s="60"/>
      <x:c r="V189" s="58" t="str">
        <x:v>Sin dato</x:v>
      </x:c>
      <x:c r="W189" s="64" t="str"/>
      <x:c r="X189" s="62" t="n">
        <x:v>46271.05877358796</x:v>
      </x:c>
      <x:c r="Y189" s="58" t="str">
        <x:v>No es todavía una fuente digital; conservar como pista territorial.</x:v>
      </x:c>
    </x:row>
    <x:row r="190" ht="42" customHeight="1">
      <x:c r="A190" s="9" t="str">
        <x:v>CL-FUE-0189</x:v>
      </x:c>
      <x:c r="B190" s="7" t="str">
        <x:v>Centro Cultural ATMA</x:v>
      </x:c>
      <x:c r="C190" s="7" t="str">
        <x:v>Centro Cultural ATMA</x:v>
      </x:c>
      <x:c r="D190" s="7" t="str">
        <x:v>Espacio cultural del directorio oficial</x:v>
      </x:c>
      <x:c r="E190" s="7" t="str">
        <x:v>Comunal/local</x:v>
      </x:c>
      <x:c r="F190" s="7" t="str">
        <x:v>Región de Valparaíso</x:v>
      </x:c>
      <x:c r="G190" s="7" t="str">
        <x:v>San Felipe</x:v>
      </x:c>
      <x:c r="H190" s="7" t="str">
        <x:v>Patrimonio</x:v>
      </x:c>
      <x:c r="I190" s="7" t="str">
        <x:v>Canal digital por localizar</x:v>
      </x:c>
      <x:c r="J190" s="10" t="str"/>
      <x:c r="K190" s="10" t="str">
        <x:v>https://ciudadania.cultura.gob.cl/wp-content/uploads/2025/12/Directorio_Espacios-Culturales-2025_RC.pdf#page=90</x:v>
      </x:c>
      <x:c r="L190" s="7" t="str">
        <x:v>Referencia territorial</x:v>
      </x:c>
      <x:c r="M190" s="7" t="str">
        <x:v>No</x:v>
      </x:c>
      <x:c r="N190" s="7" t="str">
        <x:v>Baja</x:v>
      </x:c>
      <x:c r="O190" s="7" t="str">
        <x:v>Investigación manual</x:v>
      </x:c>
      <x:c r="P190" s="8" t="n">
        <x:v>46270.666666666664</x:v>
      </x:c>
      <x:c r="Q190" s="7" t="str">
        <x:v>Dirección OCR: Santo Domingo 27, San Felipe. Ficha PDF p. 90.</x:v>
      </x:c>
      <x:c r="R190" s="58" t="str">
        <x:v>Referencia sin agenda</x:v>
      </x:c>
      <x:c r="S190" s="60" t="n">
        <x:v>0</x:v>
      </x:c>
      <x:c r="T190" s="58" t="str">
        <x:v>alta</x:v>
      </x:c>
      <x:c r="U190" s="60"/>
      <x:c r="V190" s="58" t="str">
        <x:v>Sin dato</x:v>
      </x:c>
      <x:c r="W190" s="64" t="str"/>
      <x:c r="X190" s="62" t="n">
        <x:v>46271.05877358796</x:v>
      </x:c>
      <x:c r="Y190" s="58" t="str">
        <x:v>No es todavía una fuente digital; conservar como pista territorial.</x:v>
      </x:c>
    </x:row>
    <x:row r="191" ht="42" customHeight="1">
      <x:c r="A191" s="9" t="str">
        <x:v>CL-FUE-0190</x:v>
      </x:c>
      <x:c r="B191" s="7" t="str">
        <x:v>Centro Cultural Gabriela Mistral</x:v>
      </x:c>
      <x:c r="C191" s="7" t="str">
        <x:v>Centro Cultural Gabriela Mistral</x:v>
      </x:c>
      <x:c r="D191" s="7" t="str">
        <x:v>Espacio cultural del directorio oficial</x:v>
      </x:c>
      <x:c r="E191" s="7" t="str">
        <x:v>Comunal/local</x:v>
      </x:c>
      <x:c r="F191" s="7" t="str">
        <x:v>Región de Valparaíso</x:v>
      </x:c>
      <x:c r="G191" s="7" t="str">
        <x:v>Villa Alemana</x:v>
      </x:c>
      <x:c r="H191" s="7" t="str">
        <x:v>Patrimonio</x:v>
      </x:c>
      <x:c r="I191" s="7" t="str">
        <x:v>Canal digital por localizar</x:v>
      </x:c>
      <x:c r="J191" s="10" t="str"/>
      <x:c r="K191" s="10" t="str">
        <x:v>https://ciudadania.cultura.gob.cl/wp-content/uploads/2025/12/Directorio_Espacios-Culturales-2025_RC.pdf#page=91</x:v>
      </x:c>
      <x:c r="L191" s="7" t="str">
        <x:v>Referencia territorial</x:v>
      </x:c>
      <x:c r="M191" s="7" t="str">
        <x:v>No</x:v>
      </x:c>
      <x:c r="N191" s="7" t="str">
        <x:v>Baja</x:v>
      </x:c>
      <x:c r="O191" s="7" t="str">
        <x:v>Investigación manual</x:v>
      </x:c>
      <x:c r="P191" s="8" t="n">
        <x:v>46270.666666666664</x:v>
      </x:c>
      <x:c r="Q191" s="7" t="str">
        <x:v>Dirección OCR: Santiago 674, Villa Alemana. Ficha PDF p. 91.</x:v>
      </x:c>
      <x:c r="R191" s="58" t="str">
        <x:v>Referencia sin agenda</x:v>
      </x:c>
      <x:c r="S191" s="60" t="n">
        <x:v>0</x:v>
      </x:c>
      <x:c r="T191" s="58" t="str">
        <x:v>alta</x:v>
      </x:c>
      <x:c r="U191" s="60"/>
      <x:c r="V191" s="58" t="str">
        <x:v>Sin dato</x:v>
      </x:c>
      <x:c r="W191" s="64" t="str"/>
      <x:c r="X191" s="62" t="n">
        <x:v>46271.05877358796</x:v>
      </x:c>
      <x:c r="Y191" s="58" t="str">
        <x:v>No es todavía una fuente digital; conservar como pista territorial.</x:v>
      </x:c>
    </x:row>
    <x:row r="192" ht="42" customHeight="1">
      <x:c r="A192" s="9" t="str">
        <x:v>CL-FUE-0191</x:v>
      </x:c>
      <x:c r="B192" s="7" t="str">
        <x:v>Centro Cultural de Los Andes</x:v>
      </x:c>
      <x:c r="C192" s="7" t="str">
        <x:v>Centro Cultural de Los Andes</x:v>
      </x:c>
      <x:c r="D192" s="7" t="str">
        <x:v>Espacio cultural del directorio oficial</x:v>
      </x:c>
      <x:c r="E192" s="7" t="str">
        <x:v>Comunal/local</x:v>
      </x:c>
      <x:c r="F192" s="7" t="str">
        <x:v>Región de Valparaíso</x:v>
      </x:c>
      <x:c r="G192" s="7" t="str">
        <x:v>Los Andes</x:v>
      </x:c>
      <x:c r="H192" s="7" t="str">
        <x:v>Artesanía; Artes escénicas; Audiovisual; Interculturalidad; Patrimonio</x:v>
      </x:c>
      <x:c r="I192" s="7" t="str">
        <x:v>Canal digital por localizar</x:v>
      </x:c>
      <x:c r="J192" s="10" t="str"/>
      <x:c r="K192" s="10" t="str">
        <x:v>https://ciudadania.cultura.gob.cl/wp-content/uploads/2025/12/Directorio_Espacios-Culturales-2025_RC.pdf#page=92</x:v>
      </x:c>
      <x:c r="L192" s="7" t="str">
        <x:v>Referencia territorial</x:v>
      </x:c>
      <x:c r="M192" s="7" t="str">
        <x:v>No</x:v>
      </x:c>
      <x:c r="N192" s="7" t="str">
        <x:v>Baja</x:v>
      </x:c>
      <x:c r="O192" s="7" t="str">
        <x:v>Investigación manual</x:v>
      </x:c>
      <x:c r="P192" s="8" t="n">
        <x:v>46270.666666666664</x:v>
      </x:c>
      <x:c r="Q192" s="7" t="str">
        <x:v>Dirección OCR: Maipé 475, Los Andes. Ficha PDF p. 92.</x:v>
      </x:c>
      <x:c r="R192" s="58" t="str">
        <x:v>Referencia sin agenda</x:v>
      </x:c>
      <x:c r="S192" s="60" t="n">
        <x:v>0</x:v>
      </x:c>
      <x:c r="T192" s="58" t="str">
        <x:v>alta</x:v>
      </x:c>
      <x:c r="U192" s="60"/>
      <x:c r="V192" s="58" t="str">
        <x:v>Sin dato</x:v>
      </x:c>
      <x:c r="W192" s="64" t="str"/>
      <x:c r="X192" s="62" t="n">
        <x:v>46271.05877358796</x:v>
      </x:c>
      <x:c r="Y192" s="58" t="str">
        <x:v>No es todavía una fuente digital; conservar como pista territorial.</x:v>
      </x:c>
    </x:row>
    <x:row r="193" ht="42" customHeight="1">
      <x:c r="A193" s="9" t="str">
        <x:v>CL-FUE-0192</x:v>
      </x:c>
      <x:c r="B193" s="7" t="str">
        <x:v>Espacio cultural (ficha 93)</x:v>
      </x:c>
      <x:c r="C193" s="7" t="str">
        <x:v>Espacio cultural (ficha 93)</x:v>
      </x:c>
      <x:c r="D193" s="7" t="str">
        <x:v>Espacio cultural del directorio oficial</x:v>
      </x:c>
      <x:c r="E193" s="7" t="str">
        <x:v>Comunal/local</x:v>
      </x:c>
      <x:c r="F193" s="7" t="str">
        <x:v>Región de Valparaíso</x:v>
      </x:c>
      <x:c r="G193" s="7" t="str">
        <x:v>Valparaiso</x:v>
      </x:c>
      <x:c r="H193" s="7" t="str">
        <x:v>Multidisciplinario (por clasificar)</x:v>
      </x:c>
      <x:c r="I193" s="7" t="str">
        <x:v>Canal digital por localizar</x:v>
      </x:c>
      <x:c r="J193" s="10" t="str"/>
      <x:c r="K193" s="10" t="str">
        <x:v>https://ciudadania.cultura.gob.cl/wp-content/uploads/2025/12/Directorio_Espacios-Culturales-2025_RC.pdf#page=93</x:v>
      </x:c>
      <x:c r="L193" s="7" t="str">
        <x:v>Referencia territorial</x:v>
      </x:c>
      <x:c r="M193" s="7" t="str">
        <x:v>No</x:v>
      </x:c>
      <x:c r="N193" s="7" t="str">
        <x:v>Baja</x:v>
      </x:c>
      <x:c r="O193" s="7" t="str">
        <x:v>Investigación manual</x:v>
      </x:c>
      <x:c r="P193" s="8" t="n">
        <x:v>46270.666666666664</x:v>
      </x:c>
      <x:c r="Q193" s="7" t="str">
        <x:v>Dirección OCR: Condell 1585, Valparaiso. Ficha PDF p. 93.</x:v>
      </x:c>
      <x:c r="R193" s="58" t="str">
        <x:v>Referencia sin agenda</x:v>
      </x:c>
      <x:c r="S193" s="60" t="n">
        <x:v>0</x:v>
      </x:c>
      <x:c r="T193" s="58" t="str">
        <x:v>alta</x:v>
      </x:c>
      <x:c r="U193" s="60"/>
      <x:c r="V193" s="58" t="str">
        <x:v>Sin dato</x:v>
      </x:c>
      <x:c r="W193" s="64" t="str"/>
      <x:c r="X193" s="62" t="n">
        <x:v>46271.05877358796</x:v>
      </x:c>
      <x:c r="Y193" s="58" t="str">
        <x:v>No es todavía una fuente digital; conservar como pista territorial.</x:v>
      </x:c>
    </x:row>
    <x:row r="194" ht="42" customHeight="1">
      <x:c r="A194" s="9" t="str">
        <x:v>CL-FUE-0193</x:v>
      </x:c>
      <x:c r="B194" s="7" t="str">
        <x:v>Galeria Municipal de Arte de</x:v>
      </x:c>
      <x:c r="C194" s="7" t="str">
        <x:v>Galeria Municipal de Arte de</x:v>
      </x:c>
      <x:c r="D194" s="7" t="str">
        <x:v>Espacio cultural del directorio oficial</x:v>
      </x:c>
      <x:c r="E194" s="7" t="str">
        <x:v>Comunal/local</x:v>
      </x:c>
      <x:c r="F194" s="7" t="str">
        <x:v>Región de Valparaíso</x:v>
      </x:c>
      <x:c r="G194" s="7" t="str"/>
      <x:c r="H194" s="7" t="str">
        <x:v>Multidisciplinario (por clasificar)</x:v>
      </x:c>
      <x:c r="I194" s="7" t="str">
        <x:v>Canal digital por localizar</x:v>
      </x:c>
      <x:c r="J194" s="10" t="str"/>
      <x:c r="K194" s="10" t="str">
        <x:v>https://ciudadania.cultura.gob.cl/wp-content/uploads/2025/12/Directorio_Espacios-Culturales-2025_RC.pdf#page=94</x:v>
      </x:c>
      <x:c r="L194" s="7" t="str">
        <x:v>Referencia territorial</x:v>
      </x:c>
      <x:c r="M194" s="7" t="str">
        <x:v>No</x:v>
      </x:c>
      <x:c r="N194" s="7" t="str">
        <x:v>Baja</x:v>
      </x:c>
      <x:c r="O194" s="7" t="str">
        <x:v>Investigación manual</x:v>
      </x:c>
      <x:c r="P194" s="8" t="n">
        <x:v>46270.666666666664</x:v>
      </x:c>
      <x:c r="Q194" s="7" t="str">
        <x:v>Dirección OCR: de Desarrollo Cultural. Ficha PDF p. 94.</x:v>
      </x:c>
      <x:c r="R194" s="58" t="str">
        <x:v>Referencia sin agenda</x:v>
      </x:c>
      <x:c r="S194" s="60" t="n">
        <x:v>0</x:v>
      </x:c>
      <x:c r="T194" s="58" t="str">
        <x:v>alta</x:v>
      </x:c>
      <x:c r="U194" s="60"/>
      <x:c r="V194" s="58" t="str">
        <x:v>Sin dato</x:v>
      </x:c>
      <x:c r="W194" s="64" t="str"/>
      <x:c r="X194" s="62" t="n">
        <x:v>46271.05877358796</x:v>
      </x:c>
      <x:c r="Y194" s="58" t="str">
        <x:v>No es todavía una fuente digital; conservar como pista territorial.</x:v>
      </x:c>
    </x:row>
    <x:row r="195" ht="42" customHeight="1">
      <x:c r="A195" s="9" t="str">
        <x:v>CL-FUE-0194</x:v>
      </x:c>
      <x:c r="B195" s="7" t="str">
        <x:v>Teatro Municipal de Santa Maria</x:v>
      </x:c>
      <x:c r="C195" s="7" t="str">
        <x:v>Teatro Municipal de Santa Maria</x:v>
      </x:c>
      <x:c r="D195" s="7" t="str">
        <x:v>Espacio cultural del directorio oficial</x:v>
      </x:c>
      <x:c r="E195" s="7" t="str">
        <x:v>Comunal/local</x:v>
      </x:c>
      <x:c r="F195" s="7" t="str">
        <x:v>Región de Valparaíso</x:v>
      </x:c>
      <x:c r="G195" s="7" t="str">
        <x:v>Santa Maria</x:v>
      </x:c>
      <x:c r="H195" s="7" t="str">
        <x:v>Teatro</x:v>
      </x:c>
      <x:c r="I195" s="7" t="str">
        <x:v>Canal digital por localizar</x:v>
      </x:c>
      <x:c r="J195" s="10" t="str"/>
      <x:c r="K195" s="10" t="str">
        <x:v>https://ciudadania.cultura.gob.cl/wp-content/uploads/2025/12/Directorio_Espacios-Culturales-2025_RC.pdf#page=95</x:v>
      </x:c>
      <x:c r="L195" s="7" t="str">
        <x:v>Referencia territorial</x:v>
      </x:c>
      <x:c r="M195" s="7" t="str">
        <x:v>No</x:v>
      </x:c>
      <x:c r="N195" s="7" t="str">
        <x:v>Baja</x:v>
      </x:c>
      <x:c r="O195" s="7" t="str">
        <x:v>Investigación manual</x:v>
      </x:c>
      <x:c r="P195" s="8" t="n">
        <x:v>46270.666666666664</x:v>
      </x:c>
      <x:c r="Q195" s="7" t="str">
        <x:v>Dirección OCR: Ignacio Carrera Pinto esq Carlos Zutiga, Santa Maria. Ficha PDF p. 95.</x:v>
      </x:c>
      <x:c r="R195" s="58" t="str">
        <x:v>Referencia sin agenda</x:v>
      </x:c>
      <x:c r="S195" s="60" t="n">
        <x:v>0</x:v>
      </x:c>
      <x:c r="T195" s="58" t="str">
        <x:v>alta</x:v>
      </x:c>
      <x:c r="U195" s="60"/>
      <x:c r="V195" s="58" t="str">
        <x:v>Sin dato</x:v>
      </x:c>
      <x:c r="W195" s="64" t="str"/>
      <x:c r="X195" s="62" t="n">
        <x:v>46271.05877358796</x:v>
      </x:c>
      <x:c r="Y195" s="58" t="str">
        <x:v>No es todavía una fuente digital; conservar como pista territorial.</x:v>
      </x:c>
    </x:row>
    <x:row r="196" ht="42" customHeight="1">
      <x:c r="A196" s="9" t="str">
        <x:v>CL-FUE-0195</x:v>
      </x:c>
      <x:c r="B196" s="7" t="str">
        <x:v>Sala de Arte Escénico</x:v>
      </x:c>
      <x:c r="C196" s="7" t="str">
        <x:v>Sala de Arte Escénico</x:v>
      </x:c>
      <x:c r="D196" s="7" t="str">
        <x:v>Espacio cultural del directorio oficial</x:v>
      </x:c>
      <x:c r="E196" s="7" t="str">
        <x:v>Comunal/local</x:v>
      </x:c>
      <x:c r="F196" s="7" t="str">
        <x:v>Región de Valparaíso</x:v>
      </x:c>
      <x:c r="G196" s="7" t="str">
        <x:v>Valparaiso</x:v>
      </x:c>
      <x:c r="H196" s="7" t="str">
        <x:v>Multidisciplinario (por clasificar)</x:v>
      </x:c>
      <x:c r="I196" s="7" t="str">
        <x:v>Canal digital por localizar</x:v>
      </x:c>
      <x:c r="J196" s="10" t="str"/>
      <x:c r="K196" s="10" t="str">
        <x:v>https://ciudadania.cultura.gob.cl/wp-content/uploads/2025/12/Directorio_Espacios-Culturales-2025_RC.pdf#page=96</x:v>
      </x:c>
      <x:c r="L196" s="7" t="str">
        <x:v>Referencia territorial</x:v>
      </x:c>
      <x:c r="M196" s="7" t="str">
        <x:v>No</x:v>
      </x:c>
      <x:c r="N196" s="7" t="str">
        <x:v>Baja</x:v>
      </x:c>
      <x:c r="O196" s="7" t="str">
        <x:v>Investigación manual</x:v>
      </x:c>
      <x:c r="P196" s="8" t="n">
        <x:v>46270.666666666664</x:v>
      </x:c>
      <x:c r="Q196" s="7" t="str">
        <x:v>Dirección OCR: Guillermo Gonzdlez de Hontaneda 855, Valparaiso. Ficha PDF p. 96.</x:v>
      </x:c>
      <x:c r="R196" s="58" t="str">
        <x:v>Referencia sin agenda</x:v>
      </x:c>
      <x:c r="S196" s="60" t="n">
        <x:v>0</x:v>
      </x:c>
      <x:c r="T196" s="58" t="str">
        <x:v>alta</x:v>
      </x:c>
      <x:c r="U196" s="60"/>
      <x:c r="V196" s="58" t="str">
        <x:v>Sin dato</x:v>
      </x:c>
      <x:c r="W196" s="64" t="str"/>
      <x:c r="X196" s="62" t="n">
        <x:v>46271.05877358796</x:v>
      </x:c>
      <x:c r="Y196" s="58" t="str">
        <x:v>No es todavía una fuente digital; conservar como pista territorial.</x:v>
      </x:c>
    </x:row>
    <x:row r="197" ht="42" customHeight="1">
      <x:c r="A197" s="9" t="str">
        <x:v>CL-FUE-0196</x:v>
      </x:c>
      <x:c r="B197" s="7" t="str">
        <x:v>Teatro Municipal Juan Bustos Ramirez</x:v>
      </x:c>
      <x:c r="C197" s="7" t="str">
        <x:v>Teatro Municipal Juan Bustos Ramirez</x:v>
      </x:c>
      <x:c r="D197" s="7" t="str">
        <x:v>Espacio cultural del directorio oficial</x:v>
      </x:c>
      <x:c r="E197" s="7" t="str">
        <x:v>Comunal/local</x:v>
      </x:c>
      <x:c r="F197" s="7" t="str">
        <x:v>Región de Valparaíso</x:v>
      </x:c>
      <x:c r="G197" s="7" t="str">
        <x:v>Quilpué</x:v>
      </x:c>
      <x:c r="H197" s="7" t="str">
        <x:v>Artes escénicas; Teatro</x:v>
      </x:c>
      <x:c r="I197" s="7" t="str">
        <x:v>Canal digital por localizar</x:v>
      </x:c>
      <x:c r="J197" s="10" t="str"/>
      <x:c r="K197" s="10" t="str">
        <x:v>https://ciudadania.cultura.gob.cl/wp-content/uploads/2025/12/Directorio_Espacios-Culturales-2025_RC.pdf#page=97</x:v>
      </x:c>
      <x:c r="L197" s="7" t="str">
        <x:v>Referencia territorial</x:v>
      </x:c>
      <x:c r="M197" s="7" t="str">
        <x:v>No</x:v>
      </x:c>
      <x:c r="N197" s="7" t="str">
        <x:v>Baja</x:v>
      </x:c>
      <x:c r="O197" s="7" t="str">
        <x:v>Investigación manual</x:v>
      </x:c>
      <x:c r="P197" s="8" t="n">
        <x:v>46270.666666666664</x:v>
      </x:c>
      <x:c r="Q197" s="7" t="str">
        <x:v>Dirección OCR: Anibal Pinto 634, Quilpué. Ficha PDF p. 97.</x:v>
      </x:c>
      <x:c r="R197" s="58" t="str">
        <x:v>Referencia sin agenda</x:v>
      </x:c>
      <x:c r="S197" s="60" t="n">
        <x:v>0</x:v>
      </x:c>
      <x:c r="T197" s="58" t="str">
        <x:v>alta</x:v>
      </x:c>
      <x:c r="U197" s="60"/>
      <x:c r="V197" s="58" t="str">
        <x:v>Sin dato</x:v>
      </x:c>
      <x:c r="W197" s="64" t="str"/>
      <x:c r="X197" s="62" t="n">
        <x:v>46271.05877358796</x:v>
      </x:c>
      <x:c r="Y197" s="58" t="str">
        <x:v>No es todavía una fuente digital; conservar como pista territorial.</x:v>
      </x:c>
    </x:row>
    <x:row r="198" ht="42" customHeight="1">
      <x:c r="A198" s="9" t="str">
        <x:v>CL-FUE-0197</x:v>
      </x:c>
      <x:c r="B198" s="7" t="str">
        <x:v>Balmaceda Arte Joven Sede Metropolitana</x:v>
      </x:c>
      <x:c r="C198" s="7" t="str">
        <x:v>Balmaceda Arte Joven Sede Metropolitana</x:v>
      </x:c>
      <x:c r="D198" s="7" t="str">
        <x:v>Espacio cultural del directorio oficial</x:v>
      </x:c>
      <x:c r="E198" s="7" t="str">
        <x:v>Comunal/local</x:v>
      </x:c>
      <x:c r="F198" s="7" t="str">
        <x:v>Región Metropolitana de Santiago</x:v>
      </x:c>
      <x:c r="G198" s="7" t="str">
        <x:v>Santiago</x:v>
      </x:c>
      <x:c r="H198" s="7" t="str">
        <x:v>Multidisciplinario (por clasificar)</x:v>
      </x:c>
      <x:c r="I198" s="7" t="str">
        <x:v>Canal digital por localizar</x:v>
      </x:c>
      <x:c r="J198" s="10" t="str"/>
      <x:c r="K198" s="10" t="str">
        <x:v>https://ciudadania.cultura.gob.cl/wp-content/uploads/2025/12/Directorio_Espacios-Culturales-2025_RC.pdf#page=98</x:v>
      </x:c>
      <x:c r="L198" s="7" t="str">
        <x:v>Referencia territorial</x:v>
      </x:c>
      <x:c r="M198" s="7" t="str">
        <x:v>No</x:v>
      </x:c>
      <x:c r="N198" s="7" t="str">
        <x:v>Baja</x:v>
      </x:c>
      <x:c r="O198" s="7" t="str">
        <x:v>Investigación manual</x:v>
      </x:c>
      <x:c r="P198" s="8" t="n">
        <x:v>46270.666666666664</x:v>
      </x:c>
      <x:c r="Q198" s="7" t="str">
        <x:v>Dirección OCR: Presidente Balmaceda 1215, Santiago. Ficha PDF p. 98.</x:v>
      </x:c>
      <x:c r="R198" s="58" t="str">
        <x:v>Referencia sin agenda</x:v>
      </x:c>
      <x:c r="S198" s="60" t="n">
        <x:v>0</x:v>
      </x:c>
      <x:c r="T198" s="58" t="str">
        <x:v>alta</x:v>
      </x:c>
      <x:c r="U198" s="60"/>
      <x:c r="V198" s="58" t="str">
        <x:v>Sin dato</x:v>
      </x:c>
      <x:c r="W198" s="64" t="str"/>
      <x:c r="X198" s="62" t="n">
        <x:v>46271.05877358796</x:v>
      </x:c>
      <x:c r="Y198" s="58" t="str">
        <x:v>No es todavía una fuente digital; conservar como pista territorial.</x:v>
      </x:c>
    </x:row>
    <x:row r="199" ht="42" customHeight="1">
      <x:c r="A199" s="9" t="str">
        <x:v>CL-FUE-0198</x:v>
      </x:c>
      <x:c r="B199" s="7" t="str">
        <x:v>Casa de las Culturas, las Artes y las Ciencias</x:v>
      </x:c>
      <x:c r="C199" s="7" t="str">
        <x:v>Casa de las Culturas, las Artes y las Ciencias</x:v>
      </x:c>
      <x:c r="D199" s="7" t="str">
        <x:v>Espacio cultural del directorio oficial</x:v>
      </x:c>
      <x:c r="E199" s="7" t="str">
        <x:v>Comunal/local</x:v>
      </x:c>
      <x:c r="F199" s="7" t="str">
        <x:v>Región Metropolitana de Santiago</x:v>
      </x:c>
      <x:c r="G199" s="7" t="str">
        <x:v>Cerro Navia</x:v>
      </x:c>
      <x:c r="H199" s="7" t="str">
        <x:v>Multidisciplinario (por clasificar)</x:v>
      </x:c>
      <x:c r="I199" s="7" t="str">
        <x:v>Canal digital por localizar</x:v>
      </x:c>
      <x:c r="J199" s="10" t="str"/>
      <x:c r="K199" s="10" t="str">
        <x:v>https://ciudadania.cultura.gob.cl/wp-content/uploads/2025/12/Directorio_Espacios-Culturales-2025_RC.pdf#page=99</x:v>
      </x:c>
      <x:c r="L199" s="7" t="str">
        <x:v>Referencia territorial</x:v>
      </x:c>
      <x:c r="M199" s="7" t="str">
        <x:v>No</x:v>
      </x:c>
      <x:c r="N199" s="7" t="str">
        <x:v>Baja</x:v>
      </x:c>
      <x:c r="O199" s="7" t="str">
        <x:v>Investigación manual</x:v>
      </x:c>
      <x:c r="P199" s="8" t="n">
        <x:v>46270.666666666664</x:v>
      </x:c>
      <x:c r="Q199" s="7" t="str">
        <x:v>Dirección OCR: Mapocho 7360, Cerro Navia. Ficha PDF p. 99.</x:v>
      </x:c>
      <x:c r="R199" s="58" t="str">
        <x:v>Referencia sin agenda</x:v>
      </x:c>
      <x:c r="S199" s="60" t="n">
        <x:v>0</x:v>
      </x:c>
      <x:c r="T199" s="58" t="str">
        <x:v>alta</x:v>
      </x:c>
      <x:c r="U199" s="60"/>
      <x:c r="V199" s="58" t="str">
        <x:v>Sin dato</x:v>
      </x:c>
      <x:c r="W199" s="64" t="str"/>
      <x:c r="X199" s="62" t="n">
        <x:v>46271.05877358796</x:v>
      </x:c>
      <x:c r="Y199" s="58" t="str">
        <x:v>No es todavía una fuente digital; conservar como pista territorial.</x:v>
      </x:c>
    </x:row>
    <x:row r="200" ht="42" customHeight="1">
      <x:c r="A200" s="9" t="str">
        <x:v>CL-FUE-0199</x:v>
      </x:c>
      <x:c r="B200" s="7" t="str">
        <x:v>Centro Cultural Espacio Matta</x:v>
      </x:c>
      <x:c r="C200" s="7" t="str">
        <x:v>Centro Cultural Espacio Matta</x:v>
      </x:c>
      <x:c r="D200" s="7" t="str">
        <x:v>Espacio cultural del directorio oficial</x:v>
      </x:c>
      <x:c r="E200" s="7" t="str">
        <x:v>Comunal/local</x:v>
      </x:c>
      <x:c r="F200" s="7" t="str">
        <x:v>Región Metropolitana de Santiago</x:v>
      </x:c>
      <x:c r="G200" s="7" t="str">
        <x:v>La Granja</x:v>
      </x:c>
      <x:c r="H200" s="7" t="str">
        <x:v>Multidisciplinario (por clasificar)</x:v>
      </x:c>
      <x:c r="I200" s="7" t="str">
        <x:v>Canal digital por localizar</x:v>
      </x:c>
      <x:c r="J200" s="10" t="str"/>
      <x:c r="K200" s="10" t="str">
        <x:v>https://ciudadania.cultura.gob.cl/wp-content/uploads/2025/12/Directorio_Espacios-Culturales-2025_RC.pdf#page=100</x:v>
      </x:c>
      <x:c r="L200" s="7" t="str">
        <x:v>Referencia territorial</x:v>
      </x:c>
      <x:c r="M200" s="7" t="str">
        <x:v>No</x:v>
      </x:c>
      <x:c r="N200" s="7" t="str">
        <x:v>Baja</x:v>
      </x:c>
      <x:c r="O200" s="7" t="str">
        <x:v>Investigación manual</x:v>
      </x:c>
      <x:c r="P200" s="8" t="n">
        <x:v>46270.666666666664</x:v>
      </x:c>
      <x:c r="Q200" s="7" t="str">
        <x:v>Dirección OCR: Av. Santa Rosa 9014, La Granja. Ficha PDF p. 100.</x:v>
      </x:c>
      <x:c r="R200" s="58" t="str">
        <x:v>Referencia sin agenda</x:v>
      </x:c>
      <x:c r="S200" s="60" t="n">
        <x:v>0</x:v>
      </x:c>
      <x:c r="T200" s="58" t="str">
        <x:v>alta</x:v>
      </x:c>
      <x:c r="U200" s="60"/>
      <x:c r="V200" s="58" t="str">
        <x:v>Sin dato</x:v>
      </x:c>
      <x:c r="W200" s="64" t="str"/>
      <x:c r="X200" s="62" t="n">
        <x:v>46271.05877358796</x:v>
      </x:c>
      <x:c r="Y200" s="58" t="str">
        <x:v>No es todavía una fuente digital; conservar como pista territorial.</x:v>
      </x:c>
    </x:row>
    <x:row r="201" ht="42" customHeight="1">
      <x:c r="A201" s="9" t="str">
        <x:v>CL-FUE-0200</x:v>
      </x:c>
      <x:c r="B201" s="7" t="str">
        <x:v>Asociacion Gremial Red de Salas de Teatro AG</x:v>
      </x:c>
      <x:c r="C201" s="7" t="str">
        <x:v>Asociacion Gremial Red de Salas de Teatro AG</x:v>
      </x:c>
      <x:c r="D201" s="7" t="str">
        <x:v>Espacio cultural del directorio oficial</x:v>
      </x:c>
      <x:c r="E201" s="7" t="str">
        <x:v>Comunal/local</x:v>
      </x:c>
      <x:c r="F201" s="7" t="str">
        <x:v>Región Metropolitana de Santiago</x:v>
      </x:c>
      <x:c r="G201" s="7" t="str">
        <x:v>Recoleta</x:v>
      </x:c>
      <x:c r="H201" s="7" t="str">
        <x:v>Teatro</x:v>
      </x:c>
      <x:c r="I201" s="7" t="str">
        <x:v>Canal digital por localizar</x:v>
      </x:c>
      <x:c r="J201" s="10" t="str"/>
      <x:c r="K201" s="10" t="str">
        <x:v>https://ciudadania.cultura.gob.cl/wp-content/uploads/2025/12/Directorio_Espacios-Culturales-2025_RC.pdf#page=101</x:v>
      </x:c>
      <x:c r="L201" s="7" t="str">
        <x:v>Referencia territorial</x:v>
      </x:c>
      <x:c r="M201" s="7" t="str">
        <x:v>No</x:v>
      </x:c>
      <x:c r="N201" s="7" t="str">
        <x:v>Baja</x:v>
      </x:c>
      <x:c r="O201" s="7" t="str">
        <x:v>Investigación manual</x:v>
      </x:c>
      <x:c r="P201" s="8" t="n">
        <x:v>46270.666666666664</x:v>
      </x:c>
      <x:c r="Q201" s="7" t="str">
        <x:v>Dirección OCR: Ernesto Pinto Lagarrigue 131, Recoleta. Ficha PDF p. 101.</x:v>
      </x:c>
      <x:c r="R201" s="58" t="str">
        <x:v>Referencia sin agenda</x:v>
      </x:c>
      <x:c r="S201" s="60" t="n">
        <x:v>0</x:v>
      </x:c>
      <x:c r="T201" s="58" t="str">
        <x:v>alta</x:v>
      </x:c>
      <x:c r="U201" s="60"/>
      <x:c r="V201" s="58" t="str">
        <x:v>Sin dato</x:v>
      </x:c>
      <x:c r="W201" s="64" t="str"/>
      <x:c r="X201" s="62" t="n">
        <x:v>46271.05877358796</x:v>
      </x:c>
      <x:c r="Y201" s="58" t="str">
        <x:v>No es todavía una fuente digital; conservar como pista territorial.</x:v>
      </x:c>
    </x:row>
    <x:row r="202" ht="42" customHeight="1">
      <x:c r="A202" s="9" t="str">
        <x:v>CL-FUE-0201</x:v>
      </x:c>
      <x:c r="B202" s="7" t="str">
        <x:v>Espacio cultural (ficha 102)</x:v>
      </x:c>
      <x:c r="C202" s="7" t="str">
        <x:v>Espacio cultural (ficha 102)</x:v>
      </x:c>
      <x:c r="D202" s="7" t="str">
        <x:v>Espacio cultural del directorio oficial</x:v>
      </x:c>
      <x:c r="E202" s="7" t="str">
        <x:v>Comunal/local</x:v>
      </x:c>
      <x:c r="F202" s="7" t="str">
        <x:v>Región Metropolitana de Santiago</x:v>
      </x:c>
      <x:c r="G202" s="7" t="str">
        <x:v>La Florida</x:v>
      </x:c>
      <x:c r="H202" s="7" t="str">
        <x:v>Audiovisual</x:v>
      </x:c>
      <x:c r="I202" s="7" t="str">
        <x:v>Canal digital por localizar</x:v>
      </x:c>
      <x:c r="J202" s="10" t="str"/>
      <x:c r="K202" s="10" t="str">
        <x:v>https://ciudadania.cultura.gob.cl/wp-content/uploads/2025/12/Directorio_Espacios-Culturales-2025_RC.pdf#page=102</x:v>
      </x:c>
      <x:c r="L202" s="7" t="str">
        <x:v>Referencia territorial</x:v>
      </x:c>
      <x:c r="M202" s="7" t="str">
        <x:v>No</x:v>
      </x:c>
      <x:c r="N202" s="7" t="str">
        <x:v>Baja</x:v>
      </x:c>
      <x:c r="O202" s="7" t="str">
        <x:v>Investigación manual</x:v>
      </x:c>
      <x:c r="P202" s="8" t="n">
        <x:v>46270.666666666664</x:v>
      </x:c>
      <x:c r="Q202" s="7" t="str">
        <x:v>Dirección OCR: Estados Unidos 8741, La Florida. Ficha PDF p. 102.</x:v>
      </x:c>
      <x:c r="R202" s="58" t="str">
        <x:v>Referencia sin agenda</x:v>
      </x:c>
      <x:c r="S202" s="60" t="n">
        <x:v>0</x:v>
      </x:c>
      <x:c r="T202" s="58" t="str">
        <x:v>alta</x:v>
      </x:c>
      <x:c r="U202" s="60"/>
      <x:c r="V202" s="58" t="str">
        <x:v>Sin dato</x:v>
      </x:c>
      <x:c r="W202" s="64" t="str"/>
      <x:c r="X202" s="62" t="n">
        <x:v>46271.05877358796</x:v>
      </x:c>
      <x:c r="Y202" s="58" t="str">
        <x:v>No es todavía una fuente digital; conservar como pista territorial.</x:v>
      </x:c>
    </x:row>
    <x:row r="203" ht="42" customHeight="1">
      <x:c r="A203" s="9" t="str">
        <x:v>CL-FUE-0202</x:v>
      </x:c>
      <x:c r="B203" s="7" t="str">
        <x:v>Centro Cultural La Casona de La Florida</x:v>
      </x:c>
      <x:c r="C203" s="7" t="str">
        <x:v>Centro Cultural La Casona de La Florida</x:v>
      </x:c>
      <x:c r="D203" s="7" t="str">
        <x:v>Espacio cultural del directorio oficial</x:v>
      </x:c>
      <x:c r="E203" s="7" t="str">
        <x:v>Comunal/local</x:v>
      </x:c>
      <x:c r="F203" s="7" t="str">
        <x:v>Región Metropolitana de Santiago</x:v>
      </x:c>
      <x:c r="G203" s="7" t="str">
        <x:v>La Florida</x:v>
      </x:c>
      <x:c r="H203" s="7" t="str">
        <x:v>Multidisciplinario (por clasificar)</x:v>
      </x:c>
      <x:c r="I203" s="7" t="str">
        <x:v>Canal digital por localizar</x:v>
      </x:c>
      <x:c r="J203" s="10" t="str"/>
      <x:c r="K203" s="10" t="str">
        <x:v>https://ciudadania.cultura.gob.cl/wp-content/uploads/2025/12/Directorio_Espacios-Culturales-2025_RC.pdf#page=103</x:v>
      </x:c>
      <x:c r="L203" s="7" t="str">
        <x:v>Referencia territorial</x:v>
      </x:c>
      <x:c r="M203" s="7" t="str">
        <x:v>No</x:v>
      </x:c>
      <x:c r="N203" s="7" t="str">
        <x:v>Baja</x:v>
      </x:c>
      <x:c r="O203" s="7" t="str">
        <x:v>Investigación manual</x:v>
      </x:c>
      <x:c r="P203" s="8" t="n">
        <x:v>46270.666666666664</x:v>
      </x:c>
      <x:c r="Q203" s="7" t="str">
        <x:v>Dirección OCR: Walker Martinez 1345, La Florida. Ficha PDF p. 103.</x:v>
      </x:c>
      <x:c r="R203" s="58" t="str">
        <x:v>Referencia sin agenda</x:v>
      </x:c>
      <x:c r="S203" s="60" t="n">
        <x:v>0</x:v>
      </x:c>
      <x:c r="T203" s="58" t="str">
        <x:v>alta</x:v>
      </x:c>
      <x:c r="U203" s="60"/>
      <x:c r="V203" s="58" t="str">
        <x:v>Sin dato</x:v>
      </x:c>
      <x:c r="W203" s="64" t="str"/>
      <x:c r="X203" s="62" t="n">
        <x:v>46271.05877358796</x:v>
      </x:c>
      <x:c r="Y203" s="58" t="str">
        <x:v>No es todavía una fuente digital; conservar como pista territorial.</x:v>
      </x:c>
    </x:row>
    <x:row r="204" ht="42" customHeight="1">
      <x:c r="A204" s="9" t="str">
        <x:v>CL-FUE-0203</x:v>
      </x:c>
      <x:c r="B204" s="7" t="str">
        <x:v>Espacio cultural (ficha 104)</x:v>
      </x:c>
      <x:c r="C204" s="7" t="str">
        <x:v>Espacio cultural (ficha 104)</x:v>
      </x:c>
      <x:c r="D204" s="7" t="str">
        <x:v>Espacio cultural del directorio oficial</x:v>
      </x:c>
      <x:c r="E204" s="7" t="str">
        <x:v>Comunal/local</x:v>
      </x:c>
      <x:c r="F204" s="7" t="str">
        <x:v>Región Metropolitana de Santiago</x:v>
      </x:c>
      <x:c r="G204" s="7" t="str">
        <x:v>Recoleta</x:v>
      </x:c>
      <x:c r="H204" s="7" t="str">
        <x:v>Patrimonio</x:v>
      </x:c>
      <x:c r="I204" s="7" t="str">
        <x:v>Canal digital por localizar</x:v>
      </x:c>
      <x:c r="J204" s="10" t="str"/>
      <x:c r="K204" s="10" t="str">
        <x:v>https://ciudadania.cultura.gob.cl/wp-content/uploads/2025/12/Directorio_Espacios-Culturales-2025_RC.pdf#page=104</x:v>
      </x:c>
      <x:c r="L204" s="7" t="str">
        <x:v>Referencia territorial</x:v>
      </x:c>
      <x:c r="M204" s="7" t="str">
        <x:v>No</x:v>
      </x:c>
      <x:c r="N204" s="7" t="str">
        <x:v>Baja</x:v>
      </x:c>
      <x:c r="O204" s="7" t="str">
        <x:v>Investigación manual</x:v>
      </x:c>
      <x:c r="P204" s="8" t="n">
        <x:v>46270.666666666664</x:v>
      </x:c>
      <x:c r="Q204" s="7" t="str">
        <x:v>Dirección OCR: San Cristébal 508, Recoleta. Ficha PDF p. 104.</x:v>
      </x:c>
      <x:c r="R204" s="58" t="str">
        <x:v>Referencia sin agenda</x:v>
      </x:c>
      <x:c r="S204" s="60" t="n">
        <x:v>0</x:v>
      </x:c>
      <x:c r="T204" s="58" t="str">
        <x:v>alta</x:v>
      </x:c>
      <x:c r="U204" s="60"/>
      <x:c r="V204" s="58" t="str">
        <x:v>Sin dato</x:v>
      </x:c>
      <x:c r="W204" s="64" t="str"/>
      <x:c r="X204" s="62" t="n">
        <x:v>46271.05877358796</x:v>
      </x:c>
      <x:c r="Y204" s="58" t="str">
        <x:v>No es todavía una fuente digital; conservar como pista territorial.</x:v>
      </x:c>
    </x:row>
    <x:row r="205" ht="42" customHeight="1">
      <x:c r="A205" s="9" t="str">
        <x:v>CL-FUE-0204</x:v>
      </x:c>
      <x:c r="B205" s="7" t="str">
        <x:v>Sala K</x:v>
      </x:c>
      <x:c r="C205" s="7" t="str">
        <x:v>Sala K</x:v>
      </x:c>
      <x:c r="D205" s="7" t="str">
        <x:v>Espacio cultural del directorio oficial</x:v>
      </x:c>
      <x:c r="E205" s="7" t="str">
        <x:v>Comunal/local</x:v>
      </x:c>
      <x:c r="F205" s="7" t="str">
        <x:v>Región Metropolitana de Santiago</x:v>
      </x:c>
      <x:c r="G205" s="7" t="str">
        <x:v>Santiago</x:v>
      </x:c>
      <x:c r="H205" s="7" t="str">
        <x:v>Patrimonio</x:v>
      </x:c>
      <x:c r="I205" s="7" t="str">
        <x:v>Canal digital por localizar</x:v>
      </x:c>
      <x:c r="J205" s="10" t="str"/>
      <x:c r="K205" s="10" t="str">
        <x:v>https://ciudadania.cultura.gob.cl/wp-content/uploads/2025/12/Directorio_Espacios-Culturales-2025_RC.pdf#page=105</x:v>
      </x:c>
      <x:c r="L205" s="7" t="str">
        <x:v>Referencia territorial</x:v>
      </x:c>
      <x:c r="M205" s="7" t="str">
        <x:v>No</x:v>
      </x:c>
      <x:c r="N205" s="7" t="str">
        <x:v>Baja</x:v>
      </x:c>
      <x:c r="O205" s="7" t="str">
        <x:v>Investigación manual</x:v>
      </x:c>
      <x:c r="P205" s="8" t="n">
        <x:v>46270.666666666664</x:v>
      </x:c>
      <x:c r="Q205" s="7" t="str">
        <x:v>Dirección OCR: Marin 321, Santiago. Ficha PDF p. 105.</x:v>
      </x:c>
      <x:c r="R205" s="58" t="str">
        <x:v>Referencia sin agenda</x:v>
      </x:c>
      <x:c r="S205" s="60" t="n">
        <x:v>0</x:v>
      </x:c>
      <x:c r="T205" s="58" t="str">
        <x:v>alta</x:v>
      </x:c>
      <x:c r="U205" s="60"/>
      <x:c r="V205" s="58" t="str">
        <x:v>Sin dato</x:v>
      </x:c>
      <x:c r="W205" s="64" t="str"/>
      <x:c r="X205" s="62" t="n">
        <x:v>46271.05877358796</x:v>
      </x:c>
      <x:c r="Y205" s="58" t="str">
        <x:v>No es todavía una fuente digital; conservar como pista territorial.</x:v>
      </x:c>
    </x:row>
    <x:row r="206" ht="42" customHeight="1">
      <x:c r="A206" s="9" t="str">
        <x:v>CL-FUE-0205</x:v>
      </x:c>
      <x:c r="B206" s="7" t="str">
        <x:v>Corporacién Arteduca</x:v>
      </x:c>
      <x:c r="C206" s="7" t="str">
        <x:v>Corporacién Arteduca</x:v>
      </x:c>
      <x:c r="D206" s="7" t="str">
        <x:v>Espacio cultural del directorio oficial</x:v>
      </x:c>
      <x:c r="E206" s="7" t="str">
        <x:v>Comunal/local</x:v>
      </x:c>
      <x:c r="F206" s="7" t="str">
        <x:v>Región Metropolitana de Santiago</x:v>
      </x:c>
      <x:c r="G206" s="7" t="str">
        <x:v>Santiago</x:v>
      </x:c>
      <x:c r="H206" s="7" t="str">
        <x:v>Multidisciplinario (por clasificar)</x:v>
      </x:c>
      <x:c r="I206" s="7" t="str">
        <x:v>Canal digital por localizar</x:v>
      </x:c>
      <x:c r="J206" s="10" t="str"/>
      <x:c r="K206" s="10" t="str">
        <x:v>https://ciudadania.cultura.gob.cl/wp-content/uploads/2025/12/Directorio_Espacios-Culturales-2025_RC.pdf#page=106</x:v>
      </x:c>
      <x:c r="L206" s="7" t="str">
        <x:v>Referencia territorial</x:v>
      </x:c>
      <x:c r="M206" s="7" t="str">
        <x:v>No</x:v>
      </x:c>
      <x:c r="N206" s="7" t="str">
        <x:v>Baja</x:v>
      </x:c>
      <x:c r="O206" s="7" t="str">
        <x:v>Investigación manual</x:v>
      </x:c>
      <x:c r="P206" s="8" t="n">
        <x:v>46270.666666666664</x:v>
      </x:c>
      <x:c r="Q206" s="7" t="str">
        <x:v>Dirección OCR: ‘Avda. Espafia 502, Santiago. Ficha PDF p. 106.</x:v>
      </x:c>
      <x:c r="R206" s="58" t="str">
        <x:v>Referencia sin agenda</x:v>
      </x:c>
      <x:c r="S206" s="60" t="n">
        <x:v>0</x:v>
      </x:c>
      <x:c r="T206" s="58" t="str">
        <x:v>alta</x:v>
      </x:c>
      <x:c r="U206" s="60"/>
      <x:c r="V206" s="58" t="str">
        <x:v>Sin dato</x:v>
      </x:c>
      <x:c r="W206" s="64" t="str"/>
      <x:c r="X206" s="62" t="n">
        <x:v>46271.058773599536</x:v>
      </x:c>
      <x:c r="Y206" s="58" t="str">
        <x:v>No es todavía una fuente digital; conservar como pista territorial.</x:v>
      </x:c>
    </x:row>
    <x:row r="207" ht="42" customHeight="1">
      <x:c r="A207" s="9" t="str">
        <x:v>CL-FUE-0206</x:v>
      </x:c>
      <x:c r="B207" s="7" t="str">
        <x:v>Corporacién Municipal de Cultura de San Joaguin</x:v>
      </x:c>
      <x:c r="C207" s="7" t="str">
        <x:v>Corporacién Municipal de Cultura de San Joaguin</x:v>
      </x:c>
      <x:c r="D207" s="7" t="str">
        <x:v>Espacio cultural del directorio oficial</x:v>
      </x:c>
      <x:c r="E207" s="7" t="str">
        <x:v>Comunal/local</x:v>
      </x:c>
      <x:c r="F207" s="7" t="str">
        <x:v>Región Metropolitana de Santiago</x:v>
      </x:c>
      <x:c r="G207" s="7" t="str">
        <x:v>San Joaquin</x:v>
      </x:c>
      <x:c r="H207" s="7" t="str">
        <x:v>Patrimonio</x:v>
      </x:c>
      <x:c r="I207" s="7" t="str">
        <x:v>Canal digital por localizar</x:v>
      </x:c>
      <x:c r="J207" s="10" t="str"/>
      <x:c r="K207" s="10" t="str">
        <x:v>https://ciudadania.cultura.gob.cl/wp-content/uploads/2025/12/Directorio_Espacios-Culturales-2025_RC.pdf#page=107</x:v>
      </x:c>
      <x:c r="L207" s="7" t="str">
        <x:v>Referencia territorial</x:v>
      </x:c>
      <x:c r="M207" s="7" t="str">
        <x:v>No</x:v>
      </x:c>
      <x:c r="N207" s="7" t="str">
        <x:v>Baja</x:v>
      </x:c>
      <x:c r="O207" s="7" t="str">
        <x:v>Investigación manual</x:v>
      </x:c>
      <x:c r="P207" s="8" t="n">
        <x:v>46270.666666666664</x:v>
      </x:c>
      <x:c r="Q207" s="7" t="str">
        <x:v>Dirección OCR: Cofiimo 286, San Joaquin. Ficha PDF p. 107.</x:v>
      </x:c>
      <x:c r="R207" s="58" t="str">
        <x:v>Referencia sin agenda</x:v>
      </x:c>
      <x:c r="S207" s="60" t="n">
        <x:v>0</x:v>
      </x:c>
      <x:c r="T207" s="58" t="str">
        <x:v>alta</x:v>
      </x:c>
      <x:c r="U207" s="60"/>
      <x:c r="V207" s="58" t="str">
        <x:v>Sin dato</x:v>
      </x:c>
      <x:c r="W207" s="64" t="str"/>
      <x:c r="X207" s="62" t="n">
        <x:v>46271.058773599536</x:v>
      </x:c>
      <x:c r="Y207" s="58" t="str">
        <x:v>No es todavía una fuente digital; conservar como pista territorial.</x:v>
      </x:c>
    </x:row>
    <x:row r="208" ht="42" customHeight="1">
      <x:c r="A208" s="9" t="str">
        <x:v>CL-FUE-0207</x:v>
      </x:c>
      <x:c r="B208" s="7" t="str">
        <x:v>Centro Cultural Chimkowe</x:v>
      </x:c>
      <x:c r="C208" s="7" t="str">
        <x:v>Centro Cultural Chimkowe</x:v>
      </x:c>
      <x:c r="D208" s="7" t="str">
        <x:v>Espacio cultural del directorio oficial</x:v>
      </x:c>
      <x:c r="E208" s="7" t="str">
        <x:v>Comunal/local</x:v>
      </x:c>
      <x:c r="F208" s="7" t="str">
        <x:v>Región Metropolitana de Santiago</x:v>
      </x:c>
      <x:c r="G208" s="7" t="str">
        <x:v>Pefialolén</x:v>
      </x:c>
      <x:c r="H208" s="7" t="str">
        <x:v>Patrimonio</x:v>
      </x:c>
      <x:c r="I208" s="7" t="str">
        <x:v>Canal digital por localizar</x:v>
      </x:c>
      <x:c r="J208" s="10" t="str"/>
      <x:c r="K208" s="10" t="str">
        <x:v>https://ciudadania.cultura.gob.cl/wp-content/uploads/2025/12/Directorio_Espacios-Culturales-2025_RC.pdf#page=108</x:v>
      </x:c>
      <x:c r="L208" s="7" t="str">
        <x:v>Referencia territorial</x:v>
      </x:c>
      <x:c r="M208" s="7" t="str">
        <x:v>No</x:v>
      </x:c>
      <x:c r="N208" s="7" t="str">
        <x:v>Baja</x:v>
      </x:c>
      <x:c r="O208" s="7" t="str">
        <x:v>Investigación manual</x:v>
      </x:c>
      <x:c r="P208" s="8" t="n">
        <x:v>46270.666666666664</x:v>
      </x:c>
      <x:c r="Q208" s="7" t="str">
        <x:v>Dirección OCR: Avenida Grecia 8787, Pefialolén. Ficha PDF p. 108.</x:v>
      </x:c>
      <x:c r="R208" s="58" t="str">
        <x:v>Referencia sin agenda</x:v>
      </x:c>
      <x:c r="S208" s="60" t="n">
        <x:v>0</x:v>
      </x:c>
      <x:c r="T208" s="58" t="str">
        <x:v>alta</x:v>
      </x:c>
      <x:c r="U208" s="60"/>
      <x:c r="V208" s="58" t="str">
        <x:v>Sin dato</x:v>
      </x:c>
      <x:c r="W208" s="64" t="str"/>
      <x:c r="X208" s="62" t="n">
        <x:v>46271.058773599536</x:v>
      </x:c>
      <x:c r="Y208" s="58" t="str">
        <x:v>No es todavía una fuente digital; conservar como pista territorial.</x:v>
      </x:c>
    </x:row>
    <x:row r="209" ht="42" customHeight="1">
      <x:c r="A209" s="9" t="str">
        <x:v>CL-FUE-0208</x:v>
      </x:c>
      <x:c r="B209" s="7" t="str">
        <x:v>Centro Arte Alameda</x:v>
      </x:c>
      <x:c r="C209" s="7" t="str">
        <x:v>Centro Arte Alameda</x:v>
      </x:c>
      <x:c r="D209" s="7" t="str">
        <x:v>Espacio cultural del directorio oficial</x:v>
      </x:c>
      <x:c r="E209" s="7" t="str">
        <x:v>Comunal/local</x:v>
      </x:c>
      <x:c r="F209" s="7" t="str">
        <x:v>Región Metropolitana de Santiago</x:v>
      </x:c>
      <x:c r="G209" s="7" t="str">
        <x:v>Santiago</x:v>
      </x:c>
      <x:c r="H209" s="7" t="str">
        <x:v>Patrimonio</x:v>
      </x:c>
      <x:c r="I209" s="7" t="str">
        <x:v>Canal digital por localizar</x:v>
      </x:c>
      <x:c r="J209" s="10" t="str"/>
      <x:c r="K209" s="10" t="str">
        <x:v>https://ciudadania.cultura.gob.cl/wp-content/uploads/2025/12/Directorio_Espacios-Culturales-2025_RC.pdf#page=109</x:v>
      </x:c>
      <x:c r="L209" s="7" t="str">
        <x:v>Referencia territorial</x:v>
      </x:c>
      <x:c r="M209" s="7" t="str">
        <x:v>No</x:v>
      </x:c>
      <x:c r="N209" s="7" t="str">
        <x:v>Baja</x:v>
      </x:c>
      <x:c r="O209" s="7" t="str">
        <x:v>Investigación manual</x:v>
      </x:c>
      <x:c r="P209" s="8" t="n">
        <x:v>46270.666666666664</x:v>
      </x:c>
      <x:c r="Q209" s="7" t="str">
        <x:v>Dirección OCR: Arturo Prat 33, Santiago. Ficha PDF p. 109.</x:v>
      </x:c>
      <x:c r="R209" s="58" t="str">
        <x:v>Referencia sin agenda</x:v>
      </x:c>
      <x:c r="S209" s="60" t="n">
        <x:v>0</x:v>
      </x:c>
      <x:c r="T209" s="58" t="str">
        <x:v>alta</x:v>
      </x:c>
      <x:c r="U209" s="60"/>
      <x:c r="V209" s="58" t="str">
        <x:v>Sin dato</x:v>
      </x:c>
      <x:c r="W209" s="64" t="str"/>
      <x:c r="X209" s="62" t="n">
        <x:v>46271.058773599536</x:v>
      </x:c>
      <x:c r="Y209" s="58" t="str">
        <x:v>No es todavía una fuente digital; conservar como pista territorial.</x:v>
      </x:c>
    </x:row>
    <x:row r="210" ht="42" customHeight="1">
      <x:c r="A210" s="9" t="str">
        <x:v>CL-FUE-0209</x:v>
      </x:c>
      <x:c r="B210" s="7" t="str">
        <x:v>Centro Cultural de Paine</x:v>
      </x:c>
      <x:c r="C210" s="7" t="str">
        <x:v>Centro Cultural de Paine</x:v>
      </x:c>
      <x:c r="D210" s="7" t="str">
        <x:v>Espacio cultural del directorio oficial</x:v>
      </x:c>
      <x:c r="E210" s="7" t="str">
        <x:v>Comunal/local</x:v>
      </x:c>
      <x:c r="F210" s="7" t="str">
        <x:v>Región Metropolitana de Santiago</x:v>
      </x:c>
      <x:c r="G210" s="7" t="str">
        <x:v>Paine</x:v>
      </x:c>
      <x:c r="H210" s="7" t="str">
        <x:v>Artes escénicas; Artes visuales; Música; Patrimonio</x:v>
      </x:c>
      <x:c r="I210" s="7" t="str">
        <x:v>Canal digital por localizar</x:v>
      </x:c>
      <x:c r="J210" s="10" t="str"/>
      <x:c r="K210" s="10" t="str">
        <x:v>https://ciudadania.cultura.gob.cl/wp-content/uploads/2025/12/Directorio_Espacios-Culturales-2025_RC.pdf#page=110</x:v>
      </x:c>
      <x:c r="L210" s="7" t="str">
        <x:v>Referencia territorial</x:v>
      </x:c>
      <x:c r="M210" s="7" t="str">
        <x:v>No</x:v>
      </x:c>
      <x:c r="N210" s="7" t="str">
        <x:v>Baja</x:v>
      </x:c>
      <x:c r="O210" s="7" t="str">
        <x:v>Investigación manual</x:v>
      </x:c>
      <x:c r="P210" s="8" t="n">
        <x:v>46270.666666666664</x:v>
      </x:c>
      <x:c r="Q210" s="7" t="str">
        <x:v>Dirección OCR: ‘Av. 18 de septiembre 39, Paine. Ficha PDF p. 110.</x:v>
      </x:c>
      <x:c r="R210" s="58" t="str">
        <x:v>Referencia sin agenda</x:v>
      </x:c>
      <x:c r="S210" s="60" t="n">
        <x:v>0</x:v>
      </x:c>
      <x:c r="T210" s="58" t="str">
        <x:v>alta</x:v>
      </x:c>
      <x:c r="U210" s="60"/>
      <x:c r="V210" s="58" t="str">
        <x:v>Sin dato</x:v>
      </x:c>
      <x:c r="W210" s="64" t="str"/>
      <x:c r="X210" s="62" t="n">
        <x:v>46271.058773599536</x:v>
      </x:c>
      <x:c r="Y210" s="58" t="str">
        <x:v>No es todavía una fuente digital; conservar como pista territorial.</x:v>
      </x:c>
    </x:row>
    <x:row r="211" ht="42" customHeight="1">
      <x:c r="A211" s="9" t="str">
        <x:v>CL-FUE-0210</x:v>
      </x:c>
      <x:c r="B211" s="7" t="str">
        <x:v>Centro Cultural Pumanque</x:v>
      </x:c>
      <x:c r="C211" s="7" t="str">
        <x:v>Centro Cultural Pumanque</x:v>
      </x:c>
      <x:c r="D211" s="7" t="str">
        <x:v>Espacio cultural del directorio oficial</x:v>
      </x:c>
      <x:c r="E211" s="7" t="str">
        <x:v>Comunal/local</x:v>
      </x:c>
      <x:c r="F211" s="7" t="str">
        <x:v>Región del Libertador General Bernardo O'Higgins</x:v>
      </x:c>
      <x:c r="G211" s="7" t="str">
        <x:v>Pumanque</x:v>
      </x:c>
      <x:c r="H211" s="7" t="str">
        <x:v>Patrimonio</x:v>
      </x:c>
      <x:c r="I211" s="7" t="str">
        <x:v>Canal digital por localizar</x:v>
      </x:c>
      <x:c r="J211" s="10" t="str"/>
      <x:c r="K211" s="10" t="str">
        <x:v>https://ciudadania.cultura.gob.cl/wp-content/uploads/2025/12/Directorio_Espacios-Culturales-2025_RC.pdf#page=111</x:v>
      </x:c>
      <x:c r="L211" s="7" t="str">
        <x:v>Referencia territorial</x:v>
      </x:c>
      <x:c r="M211" s="7" t="str">
        <x:v>No</x:v>
      </x:c>
      <x:c r="N211" s="7" t="str">
        <x:v>Baja</x:v>
      </x:c>
      <x:c r="O211" s="7" t="str">
        <x:v>Investigación manual</x:v>
      </x:c>
      <x:c r="P211" s="8" t="n">
        <x:v>46270.666666666664</x:v>
      </x:c>
      <x:c r="Q211" s="7" t="str">
        <x:v>Dirección OCR: ‘Av. Manuel Rodriguez s/n, Pumanque. Ficha PDF p. 111.</x:v>
      </x:c>
      <x:c r="R211" s="58" t="str">
        <x:v>Referencia sin agenda</x:v>
      </x:c>
      <x:c r="S211" s="60" t="n">
        <x:v>0</x:v>
      </x:c>
      <x:c r="T211" s="58" t="str">
        <x:v>alta</x:v>
      </x:c>
      <x:c r="U211" s="60"/>
      <x:c r="V211" s="58" t="str">
        <x:v>Sin dato</x:v>
      </x:c>
      <x:c r="W211" s="64" t="str"/>
      <x:c r="X211" s="62" t="n">
        <x:v>46271.058773599536</x:v>
      </x:c>
      <x:c r="Y211" s="58" t="str">
        <x:v>No es todavía una fuente digital; conservar como pista territorial.</x:v>
      </x:c>
    </x:row>
    <x:row r="212" ht="42" customHeight="1">
      <x:c r="A212" s="9" t="str">
        <x:v>CL-FUE-0211</x:v>
      </x:c>
      <x:c r="B212" s="7" t="str">
        <x:v>Centro Cultural La Casona</x:v>
      </x:c>
      <x:c r="C212" s="7" t="str">
        <x:v>Centro Cultural La Casona</x:v>
      </x:c>
      <x:c r="D212" s="7" t="str">
        <x:v>Espacio cultural del directorio oficial</x:v>
      </x:c>
      <x:c r="E212" s="7" t="str">
        <x:v>Comunal/local</x:v>
      </x:c>
      <x:c r="F212" s="7" t="str">
        <x:v>Región del Libertador General Bernardo O'Higgins</x:v>
      </x:c>
      <x:c r="G212" s="7" t="str">
        <x:v>Nancagua</x:v>
      </x:c>
      <x:c r="H212" s="7" t="str">
        <x:v>Patrimonio</x:v>
      </x:c>
      <x:c r="I212" s="7" t="str">
        <x:v>Canal digital por localizar</x:v>
      </x:c>
      <x:c r="J212" s="10" t="str"/>
      <x:c r="K212" s="10" t="str">
        <x:v>https://ciudadania.cultura.gob.cl/wp-content/uploads/2025/12/Directorio_Espacios-Culturales-2025_RC.pdf#page=112</x:v>
      </x:c>
      <x:c r="L212" s="7" t="str">
        <x:v>Referencia territorial</x:v>
      </x:c>
      <x:c r="M212" s="7" t="str">
        <x:v>No</x:v>
      </x:c>
      <x:c r="N212" s="7" t="str">
        <x:v>Baja</x:v>
      </x:c>
      <x:c r="O212" s="7" t="str">
        <x:v>Investigación manual</x:v>
      </x:c>
      <x:c r="P212" s="8" t="n">
        <x:v>46270.666666666664</x:v>
      </x:c>
      <x:c r="Q212" s="7" t="str">
        <x:v>Dirección OCR: ‘Av. Armando Jaramillo 21, Nancagua. Ficha PDF p. 112.</x:v>
      </x:c>
      <x:c r="R212" s="58" t="str">
        <x:v>Referencia sin agenda</x:v>
      </x:c>
      <x:c r="S212" s="60" t="n">
        <x:v>0</x:v>
      </x:c>
      <x:c r="T212" s="58" t="str">
        <x:v>alta</x:v>
      </x:c>
      <x:c r="U212" s="60"/>
      <x:c r="V212" s="58" t="str">
        <x:v>Sin dato</x:v>
      </x:c>
      <x:c r="W212" s="64" t="str"/>
      <x:c r="X212" s="62" t="n">
        <x:v>46271.058773599536</x:v>
      </x:c>
      <x:c r="Y212" s="58" t="str">
        <x:v>No es todavía una fuente digital; conservar como pista territorial.</x:v>
      </x:c>
    </x:row>
    <x:row r="213" ht="42" customHeight="1">
      <x:c r="A213" s="9" t="str">
        <x:v>CL-FUE-0212</x:v>
      </x:c>
      <x:c r="B213" s="7" t="str">
        <x:v>Casona Cultural de Pichidegua</x:v>
      </x:c>
      <x:c r="C213" s="7" t="str">
        <x:v>Casona Cultural de Pichidegua</x:v>
      </x:c>
      <x:c r="D213" s="7" t="str">
        <x:v>Espacio cultural del directorio oficial</x:v>
      </x:c>
      <x:c r="E213" s="7" t="str">
        <x:v>Comunal/local</x:v>
      </x:c>
      <x:c r="F213" s="7" t="str">
        <x:v>Región del Libertador General Bernardo O'Higgins</x:v>
      </x:c>
      <x:c r="G213" s="7" t="str">
        <x:v>Pichidegua</x:v>
      </x:c>
      <x:c r="H213" s="7" t="str">
        <x:v>Multidisciplinario (por clasificar)</x:v>
      </x:c>
      <x:c r="I213" s="7" t="str">
        <x:v>Canal digital por localizar</x:v>
      </x:c>
      <x:c r="J213" s="10" t="str"/>
      <x:c r="K213" s="10" t="str">
        <x:v>https://ciudadania.cultura.gob.cl/wp-content/uploads/2025/12/Directorio_Espacios-Culturales-2025_RC.pdf#page=113</x:v>
      </x:c>
      <x:c r="L213" s="7" t="str">
        <x:v>Referencia territorial</x:v>
      </x:c>
      <x:c r="M213" s="7" t="str">
        <x:v>No</x:v>
      </x:c>
      <x:c r="N213" s="7" t="str">
        <x:v>Baja</x:v>
      </x:c>
      <x:c r="O213" s="7" t="str">
        <x:v>Investigación manual</x:v>
      </x:c>
      <x:c r="P213" s="8" t="n">
        <x:v>46270.666666666664</x:v>
      </x:c>
      <x:c r="Q213" s="7" t="str">
        <x:v>Dirección OCR: Av. Independencia 579, Pichidegua. Ficha PDF p. 113.</x:v>
      </x:c>
      <x:c r="R213" s="58" t="str">
        <x:v>Referencia sin agenda</x:v>
      </x:c>
      <x:c r="S213" s="60" t="n">
        <x:v>0</x:v>
      </x:c>
      <x:c r="T213" s="58" t="str">
        <x:v>alta</x:v>
      </x:c>
      <x:c r="U213" s="60"/>
      <x:c r="V213" s="58" t="str">
        <x:v>Sin dato</x:v>
      </x:c>
      <x:c r="W213" s="64" t="str"/>
      <x:c r="X213" s="62" t="n">
        <x:v>46271.058773599536</x:v>
      </x:c>
      <x:c r="Y213" s="58" t="str">
        <x:v>No es todavía una fuente digital; conservar como pista territorial.</x:v>
      </x:c>
    </x:row>
    <x:row r="214" ht="42" customHeight="1">
      <x:c r="A214" s="9" t="str">
        <x:v>CL-FUE-0213</x:v>
      </x:c>
      <x:c r="B214" s="7" t="str">
        <x:v>Teatro Municipal de Peumo</x:v>
      </x:c>
      <x:c r="C214" s="7" t="str">
        <x:v>Teatro Municipal de Peumo</x:v>
      </x:c>
      <x:c r="D214" s="7" t="str">
        <x:v>Espacio cultural del directorio oficial</x:v>
      </x:c>
      <x:c r="E214" s="7" t="str">
        <x:v>Comunal/local</x:v>
      </x:c>
      <x:c r="F214" s="7" t="str">
        <x:v>Región del Libertador General Bernardo O'Higgins</x:v>
      </x:c>
      <x:c r="G214" s="7" t="str">
        <x:v>Peumo</x:v>
      </x:c>
      <x:c r="H214" s="7" t="str">
        <x:v>Patrimonio; Teatro</x:v>
      </x:c>
      <x:c r="I214" s="7" t="str">
        <x:v>Canal digital por localizar</x:v>
      </x:c>
      <x:c r="J214" s="10" t="str"/>
      <x:c r="K214" s="10" t="str">
        <x:v>https://ciudadania.cultura.gob.cl/wp-content/uploads/2025/12/Directorio_Espacios-Culturales-2025_RC.pdf#page=114</x:v>
      </x:c>
      <x:c r="L214" s="7" t="str">
        <x:v>Referencia territorial</x:v>
      </x:c>
      <x:c r="M214" s="7" t="str">
        <x:v>No</x:v>
      </x:c>
      <x:c r="N214" s="7" t="str">
        <x:v>Baja</x:v>
      </x:c>
      <x:c r="O214" s="7" t="str">
        <x:v>Investigación manual</x:v>
      </x:c>
      <x:c r="P214" s="8" t="n">
        <x:v>46270.666666666664</x:v>
      </x:c>
      <x:c r="Q214" s="7" t="str">
        <x:v>Dirección OCR: Balmaceda 5, Peumo. Ficha PDF p. 114.</x:v>
      </x:c>
      <x:c r="R214" s="58" t="str">
        <x:v>Referencia sin agenda</x:v>
      </x:c>
      <x:c r="S214" s="60" t="n">
        <x:v>0</x:v>
      </x:c>
      <x:c r="T214" s="58" t="str">
        <x:v>alta</x:v>
      </x:c>
      <x:c r="U214" s="60"/>
      <x:c r="V214" s="58" t="str">
        <x:v>Sin dato</x:v>
      </x:c>
      <x:c r="W214" s="64" t="str"/>
      <x:c r="X214" s="62" t="n">
        <x:v>46271.058773599536</x:v>
      </x:c>
      <x:c r="Y214" s="58" t="str">
        <x:v>No es todavía una fuente digital; conservar como pista territorial.</x:v>
      </x:c>
    </x:row>
    <x:row r="215" ht="42" customHeight="1">
      <x:c r="A215" s="9" t="str">
        <x:v>CL-FUE-0214</x:v>
      </x:c>
      <x:c r="B215" s="7" t="str">
        <x:v>Teatro Municipal de Marchigtie</x:v>
      </x:c>
      <x:c r="C215" s="7" t="str">
        <x:v>Teatro Municipal de Marchigtie</x:v>
      </x:c>
      <x:c r="D215" s="7" t="str">
        <x:v>Espacio cultural del directorio oficial</x:v>
      </x:c>
      <x:c r="E215" s="7" t="str">
        <x:v>Comunal/local</x:v>
      </x:c>
      <x:c r="F215" s="7" t="str">
        <x:v>Región del Libertador General Bernardo O'Higgins</x:v>
      </x:c>
      <x:c r="G215" s="7" t="str">
        <x:v>Marchigiie</x:v>
      </x:c>
      <x:c r="H215" s="7" t="str">
        <x:v>Artes escénicas; Música; Teatro</x:v>
      </x:c>
      <x:c r="I215" s="7" t="str">
        <x:v>Canal digital por localizar</x:v>
      </x:c>
      <x:c r="J215" s="10" t="str"/>
      <x:c r="K215" s="10" t="str">
        <x:v>https://ciudadania.cultura.gob.cl/wp-content/uploads/2025/12/Directorio_Espacios-Culturales-2025_RC.pdf#page=115</x:v>
      </x:c>
      <x:c r="L215" s="7" t="str">
        <x:v>Referencia territorial</x:v>
      </x:c>
      <x:c r="M215" s="7" t="str">
        <x:v>No</x:v>
      </x:c>
      <x:c r="N215" s="7" t="str">
        <x:v>Baja</x:v>
      </x:c>
      <x:c r="O215" s="7" t="str">
        <x:v>Investigación manual</x:v>
      </x:c>
      <x:c r="P215" s="8" t="n">
        <x:v>46270.666666666664</x:v>
      </x:c>
      <x:c r="Q215" s="7" t="str">
        <x:v>Dirección OCR: Laureano Cornejo 224, Marchigiie. Ficha PDF p. 115.</x:v>
      </x:c>
      <x:c r="R215" s="58" t="str">
        <x:v>Referencia sin agenda</x:v>
      </x:c>
      <x:c r="S215" s="60" t="n">
        <x:v>0</x:v>
      </x:c>
      <x:c r="T215" s="58" t="str">
        <x:v>alta</x:v>
      </x:c>
      <x:c r="U215" s="60"/>
      <x:c r="V215" s="58" t="str">
        <x:v>Sin dato</x:v>
      </x:c>
      <x:c r="W215" s="64" t="str"/>
      <x:c r="X215" s="62" t="n">
        <x:v>46271.058773599536</x:v>
      </x:c>
      <x:c r="Y215" s="58" t="str">
        <x:v>No es todavía una fuente digital; conservar como pista territorial.</x:v>
      </x:c>
    </x:row>
    <x:row r="216" ht="42" customHeight="1">
      <x:c r="A216" s="9" t="str">
        <x:v>CL-FUE-0215</x:v>
      </x:c>
      <x:c r="B216" s="7" t="str">
        <x:v>érgola Municipal de Marchigtie</x:v>
      </x:c>
      <x:c r="C216" s="7" t="str">
        <x:v>érgola Municipal de Marchigtie</x:v>
      </x:c>
      <x:c r="D216" s="7" t="str">
        <x:v>Espacio cultural del directorio oficial</x:v>
      </x:c>
      <x:c r="E216" s="7" t="str">
        <x:v>Comunal/local</x:v>
      </x:c>
      <x:c r="F216" s="7" t="str">
        <x:v>Región del Libertador General Bernardo O'Higgins</x:v>
      </x:c>
      <x:c r="G216" s="7" t="str">
        <x:v>Marchigie</x:v>
      </x:c>
      <x:c r="H216" s="7" t="str">
        <x:v>Patrimonio</x:v>
      </x:c>
      <x:c r="I216" s="7" t="str">
        <x:v>Canal digital por localizar</x:v>
      </x:c>
      <x:c r="J216" s="10" t="str"/>
      <x:c r="K216" s="10" t="str">
        <x:v>https://ciudadania.cultura.gob.cl/wp-content/uploads/2025/12/Directorio_Espacios-Culturales-2025_RC.pdf#page=116</x:v>
      </x:c>
      <x:c r="L216" s="7" t="str">
        <x:v>Referencia territorial</x:v>
      </x:c>
      <x:c r="M216" s="7" t="str">
        <x:v>No</x:v>
      </x:c>
      <x:c r="N216" s="7" t="str">
        <x:v>Baja</x:v>
      </x:c>
      <x:c r="O216" s="7" t="str">
        <x:v>Investigación manual</x:v>
      </x:c>
      <x:c r="P216" s="8" t="n">
        <x:v>46270.666666666664</x:v>
      </x:c>
      <x:c r="Q216" s="7" t="str">
        <x:v>Dirección OCR: Laureano Cornejo 224, Marchigie. Ficha PDF p. 116.</x:v>
      </x:c>
      <x:c r="R216" s="58" t="str">
        <x:v>Referencia sin agenda</x:v>
      </x:c>
      <x:c r="S216" s="60" t="n">
        <x:v>0</x:v>
      </x:c>
      <x:c r="T216" s="58" t="str">
        <x:v>alta</x:v>
      </x:c>
      <x:c r="U216" s="60"/>
      <x:c r="V216" s="58" t="str">
        <x:v>Sin dato</x:v>
      </x:c>
      <x:c r="W216" s="64" t="str"/>
      <x:c r="X216" s="62" t="n">
        <x:v>46271.058773599536</x:v>
      </x:c>
      <x:c r="Y216" s="58" t="str">
        <x:v>No es todavía una fuente digital; conservar como pista territorial.</x:v>
      </x:c>
    </x:row>
    <x:row r="217" ht="42" customHeight="1">
      <x:c r="A217" s="9" t="str">
        <x:v>CL-FUE-0216</x:v>
      </x:c>
      <x:c r="B217" s="7" t="str">
        <x:v>Centro Cultural y Civico de Lolol</x:v>
      </x:c>
      <x:c r="C217" s="7" t="str">
        <x:v>Centro Cultural y Civico de Lolol</x:v>
      </x:c>
      <x:c r="D217" s="7" t="str">
        <x:v>Espacio cultural del directorio oficial</x:v>
      </x:c>
      <x:c r="E217" s="7" t="str">
        <x:v>Comunal/local</x:v>
      </x:c>
      <x:c r="F217" s="7" t="str">
        <x:v>Región del Libertador General Bernardo O'Higgins</x:v>
      </x:c>
      <x:c r="G217" s="7" t="str">
        <x:v>Lolol</x:v>
      </x:c>
      <x:c r="H217" s="7" t="str">
        <x:v>Patrimonio; Teatro</x:v>
      </x:c>
      <x:c r="I217" s="7" t="str">
        <x:v>Canal digital por localizar</x:v>
      </x:c>
      <x:c r="J217" s="10" t="str"/>
      <x:c r="K217" s="10" t="str">
        <x:v>https://ciudadania.cultura.gob.cl/wp-content/uploads/2025/12/Directorio_Espacios-Culturales-2025_RC.pdf#page=117</x:v>
      </x:c>
      <x:c r="L217" s="7" t="str">
        <x:v>Referencia territorial</x:v>
      </x:c>
      <x:c r="M217" s="7" t="str">
        <x:v>No</x:v>
      </x:c>
      <x:c r="N217" s="7" t="str">
        <x:v>Baja</x:v>
      </x:c>
      <x:c r="O217" s="7" t="str">
        <x:v>Investigación manual</x:v>
      </x:c>
      <x:c r="P217" s="8" t="n">
        <x:v>46270.666666666664</x:v>
      </x:c>
      <x:c r="Q217" s="7" t="str">
        <x:v>Dirección OCR: Los Aromas 20, Lolol. Ficha PDF p. 117.</x:v>
      </x:c>
      <x:c r="R217" s="58" t="str">
        <x:v>Referencia sin agenda</x:v>
      </x:c>
      <x:c r="S217" s="60" t="n">
        <x:v>0</x:v>
      </x:c>
      <x:c r="T217" s="58" t="str">
        <x:v>alta</x:v>
      </x:c>
      <x:c r="U217" s="60"/>
      <x:c r="V217" s="58" t="str">
        <x:v>Sin dato</x:v>
      </x:c>
      <x:c r="W217" s="64" t="str"/>
      <x:c r="X217" s="62" t="n">
        <x:v>46271.058773599536</x:v>
      </x:c>
      <x:c r="Y217" s="58" t="str">
        <x:v>No es todavía una fuente digital; conservar como pista territorial.</x:v>
      </x:c>
    </x:row>
    <x:row r="218" ht="42" customHeight="1">
      <x:c r="A218" s="9" t="str">
        <x:v>CL-FUE-0217</x:v>
      </x:c>
      <x:c r="B218" s="7" t="str">
        <x:v>Casona O'Higgins de Pilay</x:v>
      </x:c>
      <x:c r="C218" s="7" t="str">
        <x:v>Casona O'Higgins de Pilay</x:v>
      </x:c>
      <x:c r="D218" s="7" t="str">
        <x:v>Espacio cultural del directorio oficial</x:v>
      </x:c>
      <x:c r="E218" s="7" t="str">
        <x:v>Comunal/local</x:v>
      </x:c>
      <x:c r="F218" s="7" t="str">
        <x:v>Región del Libertador General Bernardo O'Higgins</x:v>
      </x:c>
      <x:c r="G218" s="7" t="str">
        <x:v>Mostazal</x:v>
      </x:c>
      <x:c r="H218" s="7" t="str">
        <x:v>Artesanía; Artes escénicas; Audiovisual; Interculturalidad</x:v>
      </x:c>
      <x:c r="I218" s="7" t="str">
        <x:v>Canal digital por localizar</x:v>
      </x:c>
      <x:c r="J218" s="10" t="str"/>
      <x:c r="K218" s="10" t="str">
        <x:v>https://ciudadania.cultura.gob.cl/wp-content/uploads/2025/12/Directorio_Espacios-Culturales-2025_RC.pdf#page=118</x:v>
      </x:c>
      <x:c r="L218" s="7" t="str">
        <x:v>Referencia territorial</x:v>
      </x:c>
      <x:c r="M218" s="7" t="str">
        <x:v>No</x:v>
      </x:c>
      <x:c r="N218" s="7" t="str">
        <x:v>Baja</x:v>
      </x:c>
      <x:c r="O218" s="7" t="str">
        <x:v>Investigación manual</x:v>
      </x:c>
      <x:c r="P218" s="8" t="n">
        <x:v>46270.666666666664</x:v>
      </x:c>
      <x:c r="Q218" s="7" t="str">
        <x:v>Dirección OCR: O'Higgins de Pilay s/n, Mostazal. Ficha PDF p. 118.</x:v>
      </x:c>
      <x:c r="R218" s="58" t="str">
        <x:v>Referencia sin agenda</x:v>
      </x:c>
      <x:c r="S218" s="60" t="n">
        <x:v>0</x:v>
      </x:c>
      <x:c r="T218" s="58" t="str">
        <x:v>alta</x:v>
      </x:c>
      <x:c r="U218" s="60"/>
      <x:c r="V218" s="58" t="str">
        <x:v>Sin dato</x:v>
      </x:c>
      <x:c r="W218" s="64" t="str"/>
      <x:c r="X218" s="62" t="n">
        <x:v>46271.058773599536</x:v>
      </x:c>
      <x:c r="Y218" s="58" t="str">
        <x:v>No es todavía una fuente digital; conservar como pista territorial.</x:v>
      </x:c>
    </x:row>
    <x:row r="219" ht="42" customHeight="1">
      <x:c r="A219" s="9" t="str">
        <x:v>CL-FUE-0218</x:v>
      </x:c>
      <x:c r="B219" s="7" t="str">
        <x:v>Departamento de Cultura de San Fernando</x:v>
      </x:c>
      <x:c r="C219" s="7" t="str">
        <x:v>Departamento de Cultura de San Fernando</x:v>
      </x:c>
      <x:c r="D219" s="7" t="str">
        <x:v>Espacio cultural del directorio oficial</x:v>
      </x:c>
      <x:c r="E219" s="7" t="str">
        <x:v>Comunal/local</x:v>
      </x:c>
      <x:c r="F219" s="7" t="str">
        <x:v>Región del Libertador General Bernardo O'Higgins</x:v>
      </x:c>
      <x:c r="G219" s="7" t="str">
        <x:v>San Fernando</x:v>
      </x:c>
      <x:c r="H219" s="7" t="str">
        <x:v>Multidisciplinario (por clasificar)</x:v>
      </x:c>
      <x:c r="I219" s="7" t="str">
        <x:v>Canal digital por localizar</x:v>
      </x:c>
      <x:c r="J219" s="10" t="str"/>
      <x:c r="K219" s="10" t="str">
        <x:v>https://ciudadania.cultura.gob.cl/wp-content/uploads/2025/12/Directorio_Espacios-Culturales-2025_RC.pdf#page=119</x:v>
      </x:c>
      <x:c r="L219" s="7" t="str">
        <x:v>Referencia territorial</x:v>
      </x:c>
      <x:c r="M219" s="7" t="str">
        <x:v>No</x:v>
      </x:c>
      <x:c r="N219" s="7" t="str">
        <x:v>Baja</x:v>
      </x:c>
      <x:c r="O219" s="7" t="str">
        <x:v>Investigación manual</x:v>
      </x:c>
      <x:c r="P219" s="8" t="n">
        <x:v>46270.666666666664</x:v>
      </x:c>
      <x:c r="Q219" s="7" t="str">
        <x:v>Dirección OCR: Valdivia 822, San Fernando. Ficha PDF p. 119.</x:v>
      </x:c>
      <x:c r="R219" s="58" t="str">
        <x:v>Referencia sin agenda</x:v>
      </x:c>
      <x:c r="S219" s="60" t="n">
        <x:v>0</x:v>
      </x:c>
      <x:c r="T219" s="58" t="str">
        <x:v>alta</x:v>
      </x:c>
      <x:c r="U219" s="60"/>
      <x:c r="V219" s="58" t="str">
        <x:v>Sin dato</x:v>
      </x:c>
      <x:c r="W219" s="64" t="str"/>
      <x:c r="X219" s="62" t="n">
        <x:v>46271.058773599536</x:v>
      </x:c>
      <x:c r="Y219" s="58" t="str">
        <x:v>No es todavía una fuente digital; conservar como pista territorial.</x:v>
      </x:c>
    </x:row>
    <x:row r="220" ht="42" customHeight="1">
      <x:c r="A220" s="9" t="str">
        <x:v>CL-FUE-0219</x:v>
      </x:c>
      <x:c r="B220" s="7" t="str">
        <x:v>Espacio cultural (ficha 120)</x:v>
      </x:c>
      <x:c r="C220" s="7" t="str">
        <x:v>Espacio cultural (ficha 120)</x:v>
      </x:c>
      <x:c r="D220" s="7" t="str">
        <x:v>Espacio cultural del directorio oficial</x:v>
      </x:c>
      <x:c r="E220" s="7" t="str">
        <x:v>Comunal/local</x:v>
      </x:c>
      <x:c r="F220" s="7" t="str">
        <x:v>Región del Libertador General Bernardo O'Higgins</x:v>
      </x:c>
      <x:c r="G220" s="7" t="str">
        <x:v>Olivar</x:v>
      </x:c>
      <x:c r="H220" s="7" t="str">
        <x:v>Artesanía; Artes escénicas; Artes visuales; Audiovisual; Patrimonio; Teatro</x:v>
      </x:c>
      <x:c r="I220" s="7" t="str">
        <x:v>Canal digital por localizar</x:v>
      </x:c>
      <x:c r="J220" s="10" t="str"/>
      <x:c r="K220" s="10" t="str">
        <x:v>https://ciudadania.cultura.gob.cl/wp-content/uploads/2025/12/Directorio_Espacios-Culturales-2025_RC.pdf#page=120</x:v>
      </x:c>
      <x:c r="L220" s="7" t="str">
        <x:v>Referencia territorial</x:v>
      </x:c>
      <x:c r="M220" s="7" t="str">
        <x:v>No</x:v>
      </x:c>
      <x:c r="N220" s="7" t="str">
        <x:v>Baja</x:v>
      </x:c>
      <x:c r="O220" s="7" t="str">
        <x:v>Investigación manual</x:v>
      </x:c>
      <x:c r="P220" s="8" t="n">
        <x:v>46270.666666666664</x:v>
      </x:c>
      <x:c r="Q220" s="7" t="str">
        <x:v>Dirección OCR: José Hipélito Salas 3, Olivar. Ficha PDF p. 120.</x:v>
      </x:c>
      <x:c r="R220" s="58" t="str">
        <x:v>Referencia sin agenda</x:v>
      </x:c>
      <x:c r="S220" s="60" t="n">
        <x:v>0</x:v>
      </x:c>
      <x:c r="T220" s="58" t="str">
        <x:v>alta</x:v>
      </x:c>
      <x:c r="U220" s="60"/>
      <x:c r="V220" s="58" t="str">
        <x:v>Sin dato</x:v>
      </x:c>
      <x:c r="W220" s="64" t="str"/>
      <x:c r="X220" s="62" t="n">
        <x:v>46271.058773599536</x:v>
      </x:c>
      <x:c r="Y220" s="58" t="str">
        <x:v>No es todavía una fuente digital; conservar como pista territorial.</x:v>
      </x:c>
    </x:row>
    <x:row r="221" ht="42" customHeight="1">
      <x:c r="A221" s="9" t="str">
        <x:v>CL-FUE-0220</x:v>
      </x:c>
      <x:c r="B221" s="7" t="str">
        <x:v>Espacio cultural (ficha 121)</x:v>
      </x:c>
      <x:c r="C221" s="7" t="str">
        <x:v>Espacio cultural (ficha 121)</x:v>
      </x:c>
      <x:c r="D221" s="7" t="str">
        <x:v>Espacio cultural del directorio oficial</x:v>
      </x:c>
      <x:c r="E221" s="7" t="str">
        <x:v>Comunal/local</x:v>
      </x:c>
      <x:c r="F221" s="7" t="str">
        <x:v>Región del Libertador General Bernardo O'Higgins</x:v>
      </x:c>
      <x:c r="G221" s="7" t="str">
        <x:v>Mostazal</x:v>
      </x:c>
      <x:c r="H221" s="7" t="str">
        <x:v>Multidisciplinario (por clasificar)</x:v>
      </x:c>
      <x:c r="I221" s="7" t="str">
        <x:v>Canal digital por localizar</x:v>
      </x:c>
      <x:c r="J221" s="10" t="str"/>
      <x:c r="K221" s="10" t="str">
        <x:v>https://ciudadania.cultura.gob.cl/wp-content/uploads/2025/12/Directorio_Espacios-Culturales-2025_RC.pdf#page=121</x:v>
      </x:c>
      <x:c r="L221" s="7" t="str">
        <x:v>Referencia territorial</x:v>
      </x:c>
      <x:c r="M221" s="7" t="str">
        <x:v>No</x:v>
      </x:c>
      <x:c r="N221" s="7" t="str">
        <x:v>Baja</x:v>
      </x:c>
      <x:c r="O221" s="7" t="str">
        <x:v>Investigación manual</x:v>
      </x:c>
      <x:c r="P221" s="8" t="n">
        <x:v>46270.666666666664</x:v>
      </x:c>
      <x:c r="Q221" s="7" t="str">
        <x:v>Dirección OCR: Recinto Estacién s/n, Mostazal. Ficha PDF p. 121.</x:v>
      </x:c>
      <x:c r="R221" s="58" t="str">
        <x:v>Referencia sin agenda</x:v>
      </x:c>
      <x:c r="S221" s="60" t="n">
        <x:v>0</x:v>
      </x:c>
      <x:c r="T221" s="58" t="str">
        <x:v>alta</x:v>
      </x:c>
      <x:c r="U221" s="60"/>
      <x:c r="V221" s="58" t="str">
        <x:v>Sin dato</x:v>
      </x:c>
      <x:c r="W221" s="64" t="str"/>
      <x:c r="X221" s="62" t="n">
        <x:v>46271.058773599536</x:v>
      </x:c>
      <x:c r="Y221" s="58" t="str">
        <x:v>No es todavía una fuente digital; conservar como pista territorial.</x:v>
      </x:c>
    </x:row>
    <x:row r="222" ht="42" customHeight="1">
      <x:c r="A222" s="9" t="str">
        <x:v>CL-FUE-0221</x:v>
      </x:c>
      <x:c r="B222" s="7" t="str">
        <x:v>Espacio cultural (ficha 122)</x:v>
      </x:c>
      <x:c r="C222" s="7" t="str">
        <x:v>Espacio cultural (ficha 122)</x:v>
      </x:c>
      <x:c r="D222" s="7" t="str">
        <x:v>Espacio cultural del directorio oficial</x:v>
      </x:c>
      <x:c r="E222" s="7" t="str">
        <x:v>Comunal/local</x:v>
      </x:c>
      <x:c r="F222" s="7" t="str">
        <x:v>Región del Libertador General Bernardo O'Higgins</x:v>
      </x:c>
      <x:c r="G222" s="7" t="str">
        <x:v>Las Cabras</x:v>
      </x:c>
      <x:c r="H222" s="7" t="str">
        <x:v>Educación artística</x:v>
      </x:c>
      <x:c r="I222" s="7" t="str">
        <x:v>Canal digital por localizar</x:v>
      </x:c>
      <x:c r="J222" s="10" t="str"/>
      <x:c r="K222" s="10" t="str">
        <x:v>https://ciudadania.cultura.gob.cl/wp-content/uploads/2025/12/Directorio_Espacios-Culturales-2025_RC.pdf#page=122</x:v>
      </x:c>
      <x:c r="L222" s="7" t="str">
        <x:v>Referencia territorial</x:v>
      </x:c>
      <x:c r="M222" s="7" t="str">
        <x:v>No</x:v>
      </x:c>
      <x:c r="N222" s="7" t="str">
        <x:v>Baja</x:v>
      </x:c>
      <x:c r="O222" s="7" t="str">
        <x:v>Investigación manual</x:v>
      </x:c>
      <x:c r="P222" s="8" t="n">
        <x:v>46270.666666666664</x:v>
      </x:c>
      <x:c r="Q222" s="7" t="str">
        <x:v>Dirección OCR: Francisco Encina s/n esq Av. Estadio, Las Cabras. Ficha PDF p. 122.</x:v>
      </x:c>
      <x:c r="R222" s="58" t="str">
        <x:v>Referencia sin agenda</x:v>
      </x:c>
      <x:c r="S222" s="60" t="n">
        <x:v>0</x:v>
      </x:c>
      <x:c r="T222" s="58" t="str">
        <x:v>alta</x:v>
      </x:c>
      <x:c r="U222" s="60"/>
      <x:c r="V222" s="58" t="str">
        <x:v>Sin dato</x:v>
      </x:c>
      <x:c r="W222" s="64" t="str"/>
      <x:c r="X222" s="62" t="n">
        <x:v>46271.058773599536</x:v>
      </x:c>
      <x:c r="Y222" s="58" t="str">
        <x:v>No es todavía una fuente digital; conservar como pista territorial.</x:v>
      </x:c>
    </x:row>
    <x:row r="223" ht="42" customHeight="1">
      <x:c r="A223" s="9" t="str">
        <x:v>CL-FUE-0222</x:v>
      </x:c>
      <x:c r="B223" s="7" t="str">
        <x:v>Espacio cultural (ficha 123)</x:v>
      </x:c>
      <x:c r="C223" s="7" t="str">
        <x:v>Espacio cultural (ficha 123)</x:v>
      </x:c>
      <x:c r="D223" s="7" t="str">
        <x:v>Espacio cultural del directorio oficial</x:v>
      </x:c>
      <x:c r="E223" s="7" t="str">
        <x:v>Comunal/local</x:v>
      </x:c>
      <x:c r="F223" s="7" t="str">
        <x:v>Región del Libertador General Bernardo O'Higgins</x:v>
      </x:c>
      <x:c r="G223" s="7" t="str">
        <x:v>Palmilla Centro</x:v>
      </x:c>
      <x:c r="H223" s="7" t="str">
        <x:v>Artes escénicas; Artes visuales; Patrimonio; Teatro</x:v>
      </x:c>
      <x:c r="I223" s="7" t="str">
        <x:v>Canal digital por localizar</x:v>
      </x:c>
      <x:c r="J223" s="10" t="str"/>
      <x:c r="K223" s="10" t="str">
        <x:v>https://ciudadania.cultura.gob.cl/wp-content/uploads/2025/12/Directorio_Espacios-Culturales-2025_RC.pdf#page=123</x:v>
      </x:c>
      <x:c r="L223" s="7" t="str">
        <x:v>Referencia territorial</x:v>
      </x:c>
      <x:c r="M223" s="7" t="str">
        <x:v>No</x:v>
      </x:c>
      <x:c r="N223" s="7" t="str">
        <x:v>Baja</x:v>
      </x:c>
      <x:c r="O223" s="7" t="str">
        <x:v>Investigación manual</x:v>
      </x:c>
      <x:c r="P223" s="8" t="n">
        <x:v>46270.666666666664</x:v>
      </x:c>
      <x:c r="Q223" s="7" t="str">
        <x:v>Dirección OCR: ‘Av. Juan Guillermo Day s/n, Palmilla Centro. Ficha PDF p. 123.</x:v>
      </x:c>
      <x:c r="R223" s="58" t="str">
        <x:v>Referencia sin agenda</x:v>
      </x:c>
      <x:c r="S223" s="60" t="n">
        <x:v>0</x:v>
      </x:c>
      <x:c r="T223" s="58" t="str">
        <x:v>alta</x:v>
      </x:c>
      <x:c r="U223" s="60"/>
      <x:c r="V223" s="58" t="str">
        <x:v>Sin dato</x:v>
      </x:c>
      <x:c r="W223" s="64" t="str"/>
      <x:c r="X223" s="62" t="n">
        <x:v>46271.058773599536</x:v>
      </x:c>
      <x:c r="Y223" s="58" t="str">
        <x:v>No es todavía una fuente digital; conservar como pista territorial.</x:v>
      </x:c>
    </x:row>
    <x:row r="224" ht="42" customHeight="1">
      <x:c r="A224" s="9" t="str">
        <x:v>CL-FUE-0223</x:v>
      </x:c>
      <x:c r="B224" s="7" t="str">
        <x:v>Salon Multiuso La Estrella</x:v>
      </x:c>
      <x:c r="C224" s="7" t="str">
        <x:v>Salon Multiuso La Estrella</x:v>
      </x:c>
      <x:c r="D224" s="7" t="str">
        <x:v>Espacio cultural del directorio oficial</x:v>
      </x:c>
      <x:c r="E224" s="7" t="str">
        <x:v>Comunal/local</x:v>
      </x:c>
      <x:c r="F224" s="7" t="str">
        <x:v>Región del Libertador General Bernardo O'Higgins</x:v>
      </x:c>
      <x:c r="G224" s="7" t="str">
        <x:v>La Estrella</x:v>
      </x:c>
      <x:c r="H224" s="7" t="str">
        <x:v>Multidisciplinario (por clasificar)</x:v>
      </x:c>
      <x:c r="I224" s="7" t="str">
        <x:v>Canal digital por localizar</x:v>
      </x:c>
      <x:c r="J224" s="10" t="str"/>
      <x:c r="K224" s="10" t="str">
        <x:v>https://ciudadania.cultura.gob.cl/wp-content/uploads/2025/12/Directorio_Espacios-Culturales-2025_RC.pdf#page=124</x:v>
      </x:c>
      <x:c r="L224" s="7" t="str">
        <x:v>Referencia territorial</x:v>
      </x:c>
      <x:c r="M224" s="7" t="str">
        <x:v>No</x:v>
      </x:c>
      <x:c r="N224" s="7" t="str">
        <x:v>Baja</x:v>
      </x:c>
      <x:c r="O224" s="7" t="str">
        <x:v>Investigación manual</x:v>
      </x:c>
      <x:c r="P224" s="8" t="n">
        <x:v>46270.666666666664</x:v>
      </x:c>
      <x:c r="Q224" s="7" t="str">
        <x:v>Dirección OCR: Diego Portales N° 619, La Estrella. Ficha PDF p. 124.</x:v>
      </x:c>
      <x:c r="R224" s="58" t="str">
        <x:v>Referencia sin agenda</x:v>
      </x:c>
      <x:c r="S224" s="60" t="n">
        <x:v>0</x:v>
      </x:c>
      <x:c r="T224" s="58" t="str">
        <x:v>alta</x:v>
      </x:c>
      <x:c r="U224" s="60"/>
      <x:c r="V224" s="58" t="str">
        <x:v>Sin dato</x:v>
      </x:c>
      <x:c r="W224" s="64" t="str"/>
      <x:c r="X224" s="62" t="n">
        <x:v>46271.058773599536</x:v>
      </x:c>
      <x:c r="Y224" s="58" t="str">
        <x:v>No es todavía una fuente digital; conservar como pista territorial.</x:v>
      </x:c>
    </x:row>
    <x:row r="225" ht="42" customHeight="1">
      <x:c r="A225" s="9" t="str">
        <x:v>CL-FUE-0224</x:v>
      </x:c>
      <x:c r="B225" s="7" t="str">
        <x:v>Espacio cultural (ficha 125)</x:v>
      </x:c>
      <x:c r="C225" s="7" t="str">
        <x:v>Espacio cultural (ficha 125)</x:v>
      </x:c>
      <x:c r="D225" s="7" t="str">
        <x:v>Espacio cultural del directorio oficial</x:v>
      </x:c>
      <x:c r="E225" s="7" t="str">
        <x:v>Comunal/local</x:v>
      </x:c>
      <x:c r="F225" s="7" t="str">
        <x:v>Región del Libertador General Bernardo O'Higgins</x:v>
      </x:c>
      <x:c r="G225" s="7" t="str"/>
      <x:c r="H225" s="7" t="str">
        <x:v>Patrimonio</x:v>
      </x:c>
      <x:c r="I225" s="7" t="str">
        <x:v>Canal digital por localizar</x:v>
      </x:c>
      <x:c r="J225" s="10" t="str"/>
      <x:c r="K225" s="10" t="str">
        <x:v>https://ciudadania.cultura.gob.cl/wp-content/uploads/2025/12/Directorio_Espacios-Culturales-2025_RC.pdf#page=125</x:v>
      </x:c>
      <x:c r="L225" s="7" t="str">
        <x:v>Referencia territorial</x:v>
      </x:c>
      <x:c r="M225" s="7" t="str">
        <x:v>No</x:v>
      </x:c>
      <x:c r="N225" s="7" t="str">
        <x:v>Baja</x:v>
      </x:c>
      <x:c r="O225" s="7" t="str">
        <x:v>Investigación manual</x:v>
      </x:c>
      <x:c r="P225" s="8" t="n">
        <x:v>46270.666666666664</x:v>
      </x:c>
      <x:c r="Q225" s="7" t="str">
        <x:v>Dirección OCR: Valdivia 822. Ficha PDF p. 125.</x:v>
      </x:c>
      <x:c r="R225" s="58" t="str">
        <x:v>Referencia sin agenda</x:v>
      </x:c>
      <x:c r="S225" s="60" t="n">
        <x:v>0</x:v>
      </x:c>
      <x:c r="T225" s="58" t="str">
        <x:v>alta</x:v>
      </x:c>
      <x:c r="U225" s="60"/>
      <x:c r="V225" s="58" t="str">
        <x:v>Sin dato</x:v>
      </x:c>
      <x:c r="W225" s="64" t="str"/>
      <x:c r="X225" s="62" t="n">
        <x:v>46271.058773599536</x:v>
      </x:c>
      <x:c r="Y225" s="58" t="str">
        <x:v>No es todavía una fuente digital; conservar como pista territorial.</x:v>
      </x:c>
    </x:row>
    <x:row r="226" ht="42" customHeight="1">
      <x:c r="A226" s="9" t="str">
        <x:v>CL-FUE-0225</x:v>
      </x:c>
      <x:c r="B226" s="7" t="str">
        <x:v>Espacio cultural (ficha 126)</x:v>
      </x:c>
      <x:c r="C226" s="7" t="str">
        <x:v>Espacio cultural (ficha 126)</x:v>
      </x:c>
      <x:c r="D226" s="7" t="str">
        <x:v>Espacio cultural del directorio oficial</x:v>
      </x:c>
      <x:c r="E226" s="7" t="str">
        <x:v>Comunal/local</x:v>
      </x:c>
      <x:c r="F226" s="7" t="str">
        <x:v>Región del Libertador General Bernardo O'Higgins</x:v>
      </x:c>
      <x:c r="G226" s="7" t="str">
        <x:v>Mostazal</x:v>
      </x:c>
      <x:c r="H226" s="7" t="str">
        <x:v>Artes escénicas</x:v>
      </x:c>
      <x:c r="I226" s="7" t="str">
        <x:v>Canal digital por localizar</x:v>
      </x:c>
      <x:c r="J226" s="10" t="str"/>
      <x:c r="K226" s="10" t="str">
        <x:v>https://ciudadania.cultura.gob.cl/wp-content/uploads/2025/12/Directorio_Espacios-Culturales-2025_RC.pdf#page=126</x:v>
      </x:c>
      <x:c r="L226" s="7" t="str">
        <x:v>Referencia territorial</x:v>
      </x:c>
      <x:c r="M226" s="7" t="str">
        <x:v>No</x:v>
      </x:c>
      <x:c r="N226" s="7" t="str">
        <x:v>Baja</x:v>
      </x:c>
      <x:c r="O226" s="7" t="str">
        <x:v>Investigación manual</x:v>
      </x:c>
      <x:c r="P226" s="8" t="n">
        <x:v>46270.666666666664</x:v>
      </x:c>
      <x:c r="Q226" s="7" t="str">
        <x:v>Dirección OCR: Plaza de Armas s/n, Mostazal. Ficha PDF p. 126.</x:v>
      </x:c>
      <x:c r="R226" s="58" t="str">
        <x:v>Referencia sin agenda</x:v>
      </x:c>
      <x:c r="S226" s="60" t="n">
        <x:v>0</x:v>
      </x:c>
      <x:c r="T226" s="58" t="str">
        <x:v>alta</x:v>
      </x:c>
      <x:c r="U226" s="60"/>
      <x:c r="V226" s="58" t="str">
        <x:v>Sin dato</x:v>
      </x:c>
      <x:c r="W226" s="64" t="str"/>
      <x:c r="X226" s="62" t="n">
        <x:v>46271.058773599536</x:v>
      </x:c>
      <x:c r="Y226" s="58" t="str">
        <x:v>No es todavía una fuente digital; conservar como pista territorial.</x:v>
      </x:c>
    </x:row>
    <x:row r="227" ht="42" customHeight="1">
      <x:c r="A227" s="9" t="str">
        <x:v>CL-FUE-0226</x:v>
      </x:c>
      <x:c r="B227" s="7" t="str">
        <x:v>Casa de la Cultura de la Municipalidad</x:v>
      </x:c>
      <x:c r="C227" s="7" t="str">
        <x:v>Casa de la Cultura de la Municipalidad</x:v>
      </x:c>
      <x:c r="D227" s="7" t="str">
        <x:v>Espacio cultural del directorio oficial</x:v>
      </x:c>
      <x:c r="E227" s="7" t="str">
        <x:v>Comunal/local</x:v>
      </x:c>
      <x:c r="F227" s="7" t="str">
        <x:v>Región del Libertador General Bernardo O'Higgins</x:v>
      </x:c>
      <x:c r="G227" s="7" t="str">
        <x:v>Chimbarongo</x:v>
      </x:c>
      <x:c r="H227" s="7" t="str">
        <x:v>Multidisciplinario (por clasificar)</x:v>
      </x:c>
      <x:c r="I227" s="7" t="str">
        <x:v>Canal digital por localizar</x:v>
      </x:c>
      <x:c r="J227" s="10" t="str"/>
      <x:c r="K227" s="10" t="str">
        <x:v>https://ciudadania.cultura.gob.cl/wp-content/uploads/2025/12/Directorio_Espacios-Culturales-2025_RC.pdf#page=127</x:v>
      </x:c>
      <x:c r="L227" s="7" t="str">
        <x:v>Referencia territorial</x:v>
      </x:c>
      <x:c r="M227" s="7" t="str">
        <x:v>No</x:v>
      </x:c>
      <x:c r="N227" s="7" t="str">
        <x:v>Baja</x:v>
      </x:c>
      <x:c r="O227" s="7" t="str">
        <x:v>Investigación manual</x:v>
      </x:c>
      <x:c r="P227" s="8" t="n">
        <x:v>46270.666666666664</x:v>
      </x:c>
      <x:c r="Q227" s="7" t="str">
        <x:v>Dirección OCR: Miraflores 640, Chimbarongo. Ficha PDF p. 127.</x:v>
      </x:c>
      <x:c r="R227" s="58" t="str">
        <x:v>Referencia sin agenda</x:v>
      </x:c>
      <x:c r="S227" s="60" t="n">
        <x:v>0</x:v>
      </x:c>
      <x:c r="T227" s="58" t="str">
        <x:v>alta</x:v>
      </x:c>
      <x:c r="U227" s="60"/>
      <x:c r="V227" s="58" t="str">
        <x:v>Sin dato</x:v>
      </x:c>
      <x:c r="W227" s="64" t="str"/>
      <x:c r="X227" s="62" t="n">
        <x:v>46271.058773599536</x:v>
      </x:c>
      <x:c r="Y227" s="58" t="str">
        <x:v>No es todavía una fuente digital; conservar como pista territorial.</x:v>
      </x:c>
    </x:row>
    <x:row r="228" ht="42" customHeight="1">
      <x:c r="A228" s="9" t="str">
        <x:v>CL-FUE-0227</x:v>
      </x:c>
      <x:c r="B228" s="7" t="str">
        <x:v>Centro Civico y Cultural de Malloa</x:v>
      </x:c>
      <x:c r="C228" s="7" t="str">
        <x:v>Centro Civico y Cultural de Malloa</x:v>
      </x:c>
      <x:c r="D228" s="7" t="str">
        <x:v>Espacio cultural del directorio oficial</x:v>
      </x:c>
      <x:c r="E228" s="7" t="str">
        <x:v>Comunal/local</x:v>
      </x:c>
      <x:c r="F228" s="7" t="str">
        <x:v>Región del Libertador General Bernardo O'Higgins</x:v>
      </x:c>
      <x:c r="G228" s="7" t="str">
        <x:v>Malloa</x:v>
      </x:c>
      <x:c r="H228" s="7" t="str">
        <x:v>Multidisciplinario (por clasificar)</x:v>
      </x:c>
      <x:c r="I228" s="7" t="str">
        <x:v>Canal digital por localizar</x:v>
      </x:c>
      <x:c r="J228" s="10" t="str"/>
      <x:c r="K228" s="10" t="str">
        <x:v>https://ciudadania.cultura.gob.cl/wp-content/uploads/2025/12/Directorio_Espacios-Culturales-2025_RC.pdf#page=128</x:v>
      </x:c>
      <x:c r="L228" s="7" t="str">
        <x:v>Referencia territorial</x:v>
      </x:c>
      <x:c r="M228" s="7" t="str">
        <x:v>No</x:v>
      </x:c>
      <x:c r="N228" s="7" t="str">
        <x:v>Baja</x:v>
      </x:c>
      <x:c r="O228" s="7" t="str">
        <x:v>Investigación manual</x:v>
      </x:c>
      <x:c r="P228" s="8" t="n">
        <x:v>46270.666666666664</x:v>
      </x:c>
      <x:c r="Q228" s="7" t="str">
        <x:v>Dirección OCR: Av. Bernardo O'Higgins 89, Malloa. Ficha PDF p. 128.</x:v>
      </x:c>
      <x:c r="R228" s="58" t="str">
        <x:v>Referencia sin agenda</x:v>
      </x:c>
      <x:c r="S228" s="60" t="n">
        <x:v>0</x:v>
      </x:c>
      <x:c r="T228" s="58" t="str">
        <x:v>alta</x:v>
      </x:c>
      <x:c r="U228" s="60"/>
      <x:c r="V228" s="58" t="str">
        <x:v>Sin dato</x:v>
      </x:c>
      <x:c r="W228" s="64" t="str"/>
      <x:c r="X228" s="62" t="n">
        <x:v>46271.058773599536</x:v>
      </x:c>
      <x:c r="Y228" s="58" t="str">
        <x:v>No es todavía una fuente digital; conservar como pista territorial.</x:v>
      </x:c>
    </x:row>
    <x:row r="229" ht="42" customHeight="1">
      <x:c r="A229" s="9" t="str">
        <x:v>CL-FUE-0228</x:v>
      </x:c>
      <x:c r="B229" s="7" t="str">
        <x:v>Teatro Municipal de San Fernando</x:v>
      </x:c>
      <x:c r="C229" s="7" t="str">
        <x:v>Teatro Municipal de San Fernando</x:v>
      </x:c>
      <x:c r="D229" s="7" t="str">
        <x:v>Espacio cultural del directorio oficial</x:v>
      </x:c>
      <x:c r="E229" s="7" t="str">
        <x:v>Comunal/local</x:v>
      </x:c>
      <x:c r="F229" s="7" t="str">
        <x:v>Región del Libertador General Bernardo O'Higgins</x:v>
      </x:c>
      <x:c r="G229" s="7" t="str">
        <x:v>San Fernando</x:v>
      </x:c>
      <x:c r="H229" s="7" t="str">
        <x:v>Danza; Teatro</x:v>
      </x:c>
      <x:c r="I229" s="7" t="str">
        <x:v>Canal digital por localizar</x:v>
      </x:c>
      <x:c r="J229" s="10" t="str"/>
      <x:c r="K229" s="10" t="str">
        <x:v>https://ciudadania.cultura.gob.cl/wp-content/uploads/2025/12/Directorio_Espacios-Culturales-2025_RC.pdf#page=129</x:v>
      </x:c>
      <x:c r="L229" s="7" t="str">
        <x:v>Referencia territorial</x:v>
      </x:c>
      <x:c r="M229" s="7" t="str">
        <x:v>No</x:v>
      </x:c>
      <x:c r="N229" s="7" t="str">
        <x:v>Baja</x:v>
      </x:c>
      <x:c r="O229" s="7" t="str">
        <x:v>Investigación manual</x:v>
      </x:c>
      <x:c r="P229" s="8" t="n">
        <x:v>46270.666666666664</x:v>
      </x:c>
      <x:c r="Q229" s="7" t="str">
        <x:v>Dirección OCR: Carampangue 883, San Fernando. Ficha PDF p. 129.</x:v>
      </x:c>
      <x:c r="R229" s="58" t="str">
        <x:v>Referencia sin agenda</x:v>
      </x:c>
      <x:c r="S229" s="60" t="n">
        <x:v>0</x:v>
      </x:c>
      <x:c r="T229" s="58" t="str">
        <x:v>alta</x:v>
      </x:c>
      <x:c r="U229" s="60"/>
      <x:c r="V229" s="58" t="str">
        <x:v>Sin dato</x:v>
      </x:c>
      <x:c r="W229" s="64" t="str"/>
      <x:c r="X229" s="62" t="n">
        <x:v>46271.058773599536</x:v>
      </x:c>
      <x:c r="Y229" s="58" t="str">
        <x:v>No es todavía una fuente digital; conservar como pista territorial.</x:v>
      </x:c>
    </x:row>
    <x:row r="230" ht="42" customHeight="1">
      <x:c r="A230" s="9" t="str">
        <x:v>CL-FUE-0229</x:v>
      </x:c>
      <x:c r="B230" s="7" t="str">
        <x:v>Espacio cultural (ficha 130)</x:v>
      </x:c>
      <x:c r="C230" s="7" t="str">
        <x:v>Espacio cultural (ficha 130)</x:v>
      </x:c>
      <x:c r="D230" s="7" t="str">
        <x:v>Espacio cultural del directorio oficial</x:v>
      </x:c>
      <x:c r="E230" s="7" t="str">
        <x:v>Comunal/local</x:v>
      </x:c>
      <x:c r="F230" s="7" t="str">
        <x:v>Región del Libertador General Bernardo O'Higgins</x:v>
      </x:c>
      <x:c r="G230" s="7" t="str">
        <x:v>Navidad</x:v>
      </x:c>
      <x:c r="H230" s="7" t="str">
        <x:v>Patrimonio</x:v>
      </x:c>
      <x:c r="I230" s="7" t="str">
        <x:v>Canal digital por localizar</x:v>
      </x:c>
      <x:c r="J230" s="10" t="str"/>
      <x:c r="K230" s="10" t="str">
        <x:v>https://ciudadania.cultura.gob.cl/wp-content/uploads/2025/12/Directorio_Espacios-Culturales-2025_RC.pdf#page=130</x:v>
      </x:c>
      <x:c r="L230" s="7" t="str">
        <x:v>Referencia territorial</x:v>
      </x:c>
      <x:c r="M230" s="7" t="str">
        <x:v>No</x:v>
      </x:c>
      <x:c r="N230" s="7" t="str">
        <x:v>Baja</x:v>
      </x:c>
      <x:c r="O230" s="7" t="str">
        <x:v>Investigación manual</x:v>
      </x:c>
      <x:c r="P230" s="8" t="n">
        <x:v>46270.666666666664</x:v>
      </x:c>
      <x:c r="Q230" s="7" t="str">
        <x:v>Dirección OCR: Plaza General Bonilla s/n, Navidad. Ficha PDF p. 130.</x:v>
      </x:c>
      <x:c r="R230" s="58" t="str">
        <x:v>Referencia sin agenda</x:v>
      </x:c>
      <x:c r="S230" s="60" t="n">
        <x:v>0</x:v>
      </x:c>
      <x:c r="T230" s="58" t="str">
        <x:v>alta</x:v>
      </x:c>
      <x:c r="U230" s="60"/>
      <x:c r="V230" s="58" t="str">
        <x:v>Sin dato</x:v>
      </x:c>
      <x:c r="W230" s="64" t="str"/>
      <x:c r="X230" s="62" t="n">
        <x:v>46271.058773599536</x:v>
      </x:c>
      <x:c r="Y230" s="58" t="str">
        <x:v>No es todavía una fuente digital; conservar como pista territorial.</x:v>
      </x:c>
    </x:row>
    <x:row r="231" ht="42" customHeight="1">
      <x:c r="A231" s="9" t="str">
        <x:v>CL-FUE-0230</x:v>
      </x:c>
      <x:c r="B231" s="7" t="str">
        <x:v>Centro Cultural German Ruz</x:v>
      </x:c>
      <x:c r="C231" s="7" t="str">
        <x:v>Centro Cultural German Ruz</x:v>
      </x:c>
      <x:c r="D231" s="7" t="str">
        <x:v>Espacio cultural del directorio oficial</x:v>
      </x:c>
      <x:c r="E231" s="7" t="str">
        <x:v>Comunal/local</x:v>
      </x:c>
      <x:c r="F231" s="7" t="str">
        <x:v>Región del Libertador General Bernardo O'Higgins</x:v>
      </x:c>
      <x:c r="G231" s="7" t="str">
        <x:v>Machali</x:v>
      </x:c>
      <x:c r="H231" s="7" t="str">
        <x:v>Patrimonio</x:v>
      </x:c>
      <x:c r="I231" s="7" t="str">
        <x:v>Canal digital por localizar</x:v>
      </x:c>
      <x:c r="J231" s="10" t="str"/>
      <x:c r="K231" s="10" t="str">
        <x:v>https://ciudadania.cultura.gob.cl/wp-content/uploads/2025/12/Directorio_Espacios-Culturales-2025_RC.pdf#page=131</x:v>
      </x:c>
      <x:c r="L231" s="7" t="str">
        <x:v>Referencia territorial</x:v>
      </x:c>
      <x:c r="M231" s="7" t="str">
        <x:v>No</x:v>
      </x:c>
      <x:c r="N231" s="7" t="str">
        <x:v>Baja</x:v>
      </x:c>
      <x:c r="O231" s="7" t="str">
        <x:v>Investigación manual</x:v>
      </x:c>
      <x:c r="P231" s="8" t="n">
        <x:v>46270.666666666664</x:v>
      </x:c>
      <x:c r="Q231" s="7" t="str">
        <x:v>Dirección OCR: Irarrzabal s/n sector Piscina Municipal, Machali. Ficha PDF p. 131.</x:v>
      </x:c>
      <x:c r="R231" s="58" t="str">
        <x:v>Referencia sin agenda</x:v>
      </x:c>
      <x:c r="S231" s="60" t="n">
        <x:v>0</x:v>
      </x:c>
      <x:c r="T231" s="58" t="str">
        <x:v>alta</x:v>
      </x:c>
      <x:c r="U231" s="60"/>
      <x:c r="V231" s="58" t="str">
        <x:v>Sin dato</x:v>
      </x:c>
      <x:c r="W231" s="64" t="str"/>
      <x:c r="X231" s="62" t="n">
        <x:v>46271.058773599536</x:v>
      </x:c>
      <x:c r="Y231" s="58" t="str">
        <x:v>No es todavía una fuente digital; conservar como pista territorial.</x:v>
      </x:c>
    </x:row>
    <x:row r="232" ht="42" customHeight="1">
      <x:c r="A232" s="9" t="str">
        <x:v>CL-FUE-0231</x:v>
      </x:c>
      <x:c r="B232" s="7" t="str">
        <x:v>Teatro Municipal Hernan Castro Valenzuela</x:v>
      </x:c>
      <x:c r="C232" s="7" t="str">
        <x:v>Teatro Municipal Hernan Castro Valenzuela</x:v>
      </x:c>
      <x:c r="D232" s="7" t="str">
        <x:v>Espacio cultural del directorio oficial</x:v>
      </x:c>
      <x:c r="E232" s="7" t="str">
        <x:v>Comunal/local</x:v>
      </x:c>
      <x:c r="F232" s="7" t="str">
        <x:v>Región del Libertador General Bernardo O'Higgins</x:v>
      </x:c>
      <x:c r="G232" s="7" t="str">
        <x:v>Chépica</x:v>
      </x:c>
      <x:c r="H232" s="7" t="str">
        <x:v>Artes escénicas; Teatro</x:v>
      </x:c>
      <x:c r="I232" s="7" t="str">
        <x:v>Canal digital por localizar</x:v>
      </x:c>
      <x:c r="J232" s="10" t="str"/>
      <x:c r="K232" s="10" t="str">
        <x:v>https://ciudadania.cultura.gob.cl/wp-content/uploads/2025/12/Directorio_Espacios-Culturales-2025_RC.pdf#page=132</x:v>
      </x:c>
      <x:c r="L232" s="7" t="str">
        <x:v>Referencia territorial</x:v>
      </x:c>
      <x:c r="M232" s="7" t="str">
        <x:v>No</x:v>
      </x:c>
      <x:c r="N232" s="7" t="str">
        <x:v>Baja</x:v>
      </x:c>
      <x:c r="O232" s="7" t="str">
        <x:v>Investigación manual</x:v>
      </x:c>
      <x:c r="P232" s="8" t="n">
        <x:v>46270.666666666664</x:v>
      </x:c>
      <x:c r="Q232" s="7" t="str">
        <x:v>Dirección OCR: Av. Manuel Montt 101, Chépica. Ficha PDF p. 132.</x:v>
      </x:c>
      <x:c r="R232" s="58" t="str">
        <x:v>Referencia sin agenda</x:v>
      </x:c>
      <x:c r="S232" s="60" t="n">
        <x:v>0</x:v>
      </x:c>
      <x:c r="T232" s="58" t="str">
        <x:v>alta</x:v>
      </x:c>
      <x:c r="U232" s="60"/>
      <x:c r="V232" s="58" t="str">
        <x:v>Sin dato</x:v>
      </x:c>
      <x:c r="W232" s="64" t="str"/>
      <x:c r="X232" s="62" t="n">
        <x:v>46271.058773599536</x:v>
      </x:c>
      <x:c r="Y232" s="58" t="str">
        <x:v>No es todavía una fuente digital; conservar como pista territorial.</x:v>
      </x:c>
    </x:row>
    <x:row r="233" ht="42" customHeight="1">
      <x:c r="A233" s="9" t="str">
        <x:v>CL-FUE-0232</x:v>
      </x:c>
      <x:c r="B233" s="7" t="str">
        <x:v>Direcci6n José Miguel Carrera 31, Curepto</x:v>
      </x:c>
      <x:c r="C233" s="7" t="str">
        <x:v>Direcci6n José Miguel Carrera 31, Curepto</x:v>
      </x:c>
      <x:c r="D233" s="7" t="str">
        <x:v>Espacio cultural del directorio oficial</x:v>
      </x:c>
      <x:c r="E233" s="7" t="str">
        <x:v>Comunal/local</x:v>
      </x:c>
      <x:c r="F233" s="7" t="str">
        <x:v>Región del Maule</x:v>
      </x:c>
      <x:c r="G233" s="7" t="str">
        <x:v>Curepto</x:v>
      </x:c>
      <x:c r="H233" s="7" t="str">
        <x:v>Multidisciplinario (por clasificar)</x:v>
      </x:c>
      <x:c r="I233" s="7" t="str">
        <x:v>Canal digital por localizar</x:v>
      </x:c>
      <x:c r="J233" s="10" t="str"/>
      <x:c r="K233" s="10" t="str">
        <x:v>https://ciudadania.cultura.gob.cl/wp-content/uploads/2025/12/Directorio_Espacios-Culturales-2025_RC.pdf#page=134</x:v>
      </x:c>
      <x:c r="L233" s="7" t="str">
        <x:v>Referencia territorial</x:v>
      </x:c>
      <x:c r="M233" s="7" t="str">
        <x:v>No</x:v>
      </x:c>
      <x:c r="N233" s="7" t="str">
        <x:v>Baja</x:v>
      </x:c>
      <x:c r="O233" s="7" t="str">
        <x:v>Investigación manual</x:v>
      </x:c>
      <x:c r="P233" s="8" t="n">
        <x:v>46270.666666666664</x:v>
      </x:c>
      <x:c r="Q233" s="7" t="str">
        <x:v>Dirección OCR: José Miguel Carrera 31, Curepto. Ficha PDF p. 134.</x:v>
      </x:c>
      <x:c r="R233" s="58" t="str">
        <x:v>Referencia sin agenda</x:v>
      </x:c>
      <x:c r="S233" s="60" t="n">
        <x:v>0</x:v>
      </x:c>
      <x:c r="T233" s="58" t="str">
        <x:v>alta</x:v>
      </x:c>
      <x:c r="U233" s="60"/>
      <x:c r="V233" s="58" t="str">
        <x:v>Sin dato</x:v>
      </x:c>
      <x:c r="W233" s="64" t="str"/>
      <x:c r="X233" s="62" t="n">
        <x:v>46271.058773599536</x:v>
      </x:c>
      <x:c r="Y233" s="58" t="str">
        <x:v>No es todavía una fuente digital; conservar como pista territorial.</x:v>
      </x:c>
    </x:row>
    <x:row r="234" ht="42" customHeight="1">
      <x:c r="A234" s="9" t="str">
        <x:v>CL-FUE-0233</x:v>
      </x:c>
      <x:c r="B234" s="7" t="str">
        <x:v>Fundacion para la Cultura y las Artes</x:v>
      </x:c>
      <x:c r="C234" s="7" t="str">
        <x:v>Fundacion para la Cultura y las Artes</x:v>
      </x:c>
      <x:c r="D234" s="7" t="str">
        <x:v>Espacio cultural del directorio oficial</x:v>
      </x:c>
      <x:c r="E234" s="7" t="str">
        <x:v>Comunal/local</x:v>
      </x:c>
      <x:c r="F234" s="7" t="str">
        <x:v>Región del Maule</x:v>
      </x:c>
      <x:c r="G234" s="7" t="str">
        <x:v>Constitucién</x:v>
      </x:c>
      <x:c r="H234" s="7" t="str">
        <x:v>Multidisciplinario (por clasificar)</x:v>
      </x:c>
      <x:c r="I234" s="7" t="str">
        <x:v>Canal digital por localizar</x:v>
      </x:c>
      <x:c r="J234" s="10" t="str"/>
      <x:c r="K234" s="10" t="str">
        <x:v>https://ciudadania.cultura.gob.cl/wp-content/uploads/2025/12/Directorio_Espacios-Culturales-2025_RC.pdf#page=135</x:v>
      </x:c>
      <x:c r="L234" s="7" t="str">
        <x:v>Referencia territorial</x:v>
      </x:c>
      <x:c r="M234" s="7" t="str">
        <x:v>No</x:v>
      </x:c>
      <x:c r="N234" s="7" t="str">
        <x:v>Baja</x:v>
      </x:c>
      <x:c r="O234" s="7" t="str">
        <x:v>Investigación manual</x:v>
      </x:c>
      <x:c r="P234" s="8" t="n">
        <x:v>46270.666666666664</x:v>
      </x:c>
      <x:c r="Q234" s="7" t="str">
        <x:v>Dirección OCR: Portales 587, Constitucién. Ficha PDF p. 135.</x:v>
      </x:c>
      <x:c r="R234" s="58" t="str">
        <x:v>Referencia sin agenda</x:v>
      </x:c>
      <x:c r="S234" s="60" t="n">
        <x:v>0</x:v>
      </x:c>
      <x:c r="T234" s="58" t="str">
        <x:v>alta</x:v>
      </x:c>
      <x:c r="U234" s="60"/>
      <x:c r="V234" s="58" t="str">
        <x:v>Sin dato</x:v>
      </x:c>
      <x:c r="W234" s="64" t="str"/>
      <x:c r="X234" s="62" t="n">
        <x:v>46271.058773599536</x:v>
      </x:c>
      <x:c r="Y234" s="58" t="str">
        <x:v>No es todavía una fuente digital; conservar como pista territorial.</x:v>
      </x:c>
    </x:row>
    <x:row r="235" ht="42" customHeight="1">
      <x:c r="A235" s="9" t="str">
        <x:v>CL-FUE-0234</x:v>
      </x:c>
      <x:c r="B235" s="7" t="str">
        <x:v>Teatro Municipal Arnaldo Canto Matus</x:v>
      </x:c>
      <x:c r="C235" s="7" t="str">
        <x:v>Teatro Municipal Arnaldo Canto Matus</x:v>
      </x:c>
      <x:c r="D235" s="7" t="str">
        <x:v>Espacio cultural del directorio oficial</x:v>
      </x:c>
      <x:c r="E235" s="7" t="str">
        <x:v>Comunal/local</x:v>
      </x:c>
      <x:c r="F235" s="7" t="str">
        <x:v>Región del Maule</x:v>
      </x:c>
      <x:c r="G235" s="7" t="str">
        <x:v>Molina</x:v>
      </x:c>
      <x:c r="H235" s="7" t="str">
        <x:v>Patrimonio; Teatro</x:v>
      </x:c>
      <x:c r="I235" s="7" t="str">
        <x:v>Canal digital por localizar</x:v>
      </x:c>
      <x:c r="J235" s="10" t="str"/>
      <x:c r="K235" s="10" t="str">
        <x:v>https://ciudadania.cultura.gob.cl/wp-content/uploads/2025/12/Directorio_Espacios-Culturales-2025_RC.pdf#page=136</x:v>
      </x:c>
      <x:c r="L235" s="7" t="str">
        <x:v>Referencia territorial</x:v>
      </x:c>
      <x:c r="M235" s="7" t="str">
        <x:v>No</x:v>
      </x:c>
      <x:c r="N235" s="7" t="str">
        <x:v>Baja</x:v>
      </x:c>
      <x:c r="O235" s="7" t="str">
        <x:v>Investigación manual</x:v>
      </x:c>
      <x:c r="P235" s="8" t="n">
        <x:v>46270.666666666664</x:v>
      </x:c>
      <x:c r="Q235" s="7" t="str">
        <x:v>Dirección OCR: Yerbas Buenas 1379, Molina. Ficha PDF p. 136.</x:v>
      </x:c>
      <x:c r="R235" s="58" t="str">
        <x:v>Referencia sin agenda</x:v>
      </x:c>
      <x:c r="S235" s="60" t="n">
        <x:v>0</x:v>
      </x:c>
      <x:c r="T235" s="58" t="str">
        <x:v>alta</x:v>
      </x:c>
      <x:c r="U235" s="60"/>
      <x:c r="V235" s="58" t="str">
        <x:v>Sin dato</x:v>
      </x:c>
      <x:c r="W235" s="64" t="str"/>
      <x:c r="X235" s="62" t="n">
        <x:v>46271.058773599536</x:v>
      </x:c>
      <x:c r="Y235" s="58" t="str">
        <x:v>No es todavía una fuente digital; conservar como pista territorial.</x:v>
      </x:c>
    </x:row>
    <x:row r="236" ht="42" customHeight="1">
      <x:c r="A236" s="9" t="str">
        <x:v>CL-FUE-0235</x:v>
      </x:c>
      <x:c r="B236" s="7" t="str">
        <x:v>Corporacién Cultural de Teno</x:v>
      </x:c>
      <x:c r="C236" s="7" t="str">
        <x:v>Corporacién Cultural de Teno</x:v>
      </x:c>
      <x:c r="D236" s="7" t="str">
        <x:v>Espacio cultural del directorio oficial</x:v>
      </x:c>
      <x:c r="E236" s="7" t="str">
        <x:v>Comunal/local</x:v>
      </x:c>
      <x:c r="F236" s="7" t="str">
        <x:v>Región del Maule</x:v>
      </x:c>
      <x:c r="G236" s="7" t="str">
        <x:v>Teno</x:v>
      </x:c>
      <x:c r="H236" s="7" t="str">
        <x:v>Multidisciplinario (por clasificar)</x:v>
      </x:c>
      <x:c r="I236" s="7" t="str">
        <x:v>Canal digital por localizar</x:v>
      </x:c>
      <x:c r="J236" s="10" t="str"/>
      <x:c r="K236" s="10" t="str">
        <x:v>https://ciudadania.cultura.gob.cl/wp-content/uploads/2025/12/Directorio_Espacios-Culturales-2025_RC.pdf#page=137</x:v>
      </x:c>
      <x:c r="L236" s="7" t="str">
        <x:v>Referencia territorial</x:v>
      </x:c>
      <x:c r="M236" s="7" t="str">
        <x:v>No</x:v>
      </x:c>
      <x:c r="N236" s="7" t="str">
        <x:v>Baja</x:v>
      </x:c>
      <x:c r="O236" s="7" t="str">
        <x:v>Investigación manual</x:v>
      </x:c>
      <x:c r="P236" s="8" t="n">
        <x:v>46270.666666666664</x:v>
      </x:c>
      <x:c r="Q236" s="7" t="str">
        <x:v>Dirección OCR: ‘Av. Comalle 85, Teno. Ficha PDF p. 137.</x:v>
      </x:c>
      <x:c r="R236" s="58" t="str">
        <x:v>Referencia sin agenda</x:v>
      </x:c>
      <x:c r="S236" s="60" t="n">
        <x:v>0</x:v>
      </x:c>
      <x:c r="T236" s="58" t="str">
        <x:v>alta</x:v>
      </x:c>
      <x:c r="U236" s="60"/>
      <x:c r="V236" s="58" t="str">
        <x:v>Sin dato</x:v>
      </x:c>
      <x:c r="W236" s="64" t="str"/>
      <x:c r="X236" s="62" t="n">
        <x:v>46271.058773599536</x:v>
      </x:c>
      <x:c r="Y236" s="58" t="str">
        <x:v>No es todavía una fuente digital; conservar como pista territorial.</x:v>
      </x:c>
    </x:row>
    <x:row r="237" ht="42" customHeight="1">
      <x:c r="A237" s="9" t="str">
        <x:v>CL-FUE-0236</x:v>
      </x:c>
      <x:c r="B237" s="7" t="str">
        <x:v>CasaFactoria, infraestructura cultural de</x:v>
      </x:c>
      <x:c r="C237" s="7" t="str">
        <x:v>CasaFactoria, infraestructura cultural de</x:v>
      </x:c>
      <x:c r="D237" s="7" t="str">
        <x:v>Espacio cultural del directorio oficial</x:v>
      </x:c>
      <x:c r="E237" s="7" t="str">
        <x:v>Comunal/local</x:v>
      </x:c>
      <x:c r="F237" s="7" t="str">
        <x:v>Región del Maule</x:v>
      </x:c>
      <x:c r="G237" s="7" t="str">
        <x:v>Teno</x:v>
      </x:c>
      <x:c r="H237" s="7" t="str">
        <x:v>Multidisciplinario (por clasificar)</x:v>
      </x:c>
      <x:c r="I237" s="7" t="str">
        <x:v>Canal digital por localizar</x:v>
      </x:c>
      <x:c r="J237" s="10" t="str"/>
      <x:c r="K237" s="10" t="str">
        <x:v>https://ciudadania.cultura.gob.cl/wp-content/uploads/2025/12/Directorio_Espacios-Culturales-2025_RC.pdf#page=138</x:v>
      </x:c>
      <x:c r="L237" s="7" t="str">
        <x:v>Referencia territorial</x:v>
      </x:c>
      <x:c r="M237" s="7" t="str">
        <x:v>No</x:v>
      </x:c>
      <x:c r="N237" s="7" t="str">
        <x:v>Baja</x:v>
      </x:c>
      <x:c r="O237" s="7" t="str">
        <x:v>Investigación manual</x:v>
      </x:c>
      <x:c r="P237" s="8" t="n">
        <x:v>46270.666666666664</x:v>
      </x:c>
      <x:c r="Q237" s="7" t="str">
        <x:v>Dirección OCR: 7 Norte C 36, Teno. Ficha PDF p. 138.</x:v>
      </x:c>
      <x:c r="R237" s="58" t="str">
        <x:v>Referencia sin agenda</x:v>
      </x:c>
      <x:c r="S237" s="60" t="n">
        <x:v>0</x:v>
      </x:c>
      <x:c r="T237" s="58" t="str">
        <x:v>alta</x:v>
      </x:c>
      <x:c r="U237" s="60"/>
      <x:c r="V237" s="58" t="str">
        <x:v>Sin dato</x:v>
      </x:c>
      <x:c r="W237" s="64" t="str"/>
      <x:c r="X237" s="62" t="n">
        <x:v>46271.058773599536</x:v>
      </x:c>
      <x:c r="Y237" s="58" t="str">
        <x:v>No es todavía una fuente digital; conservar como pista territorial.</x:v>
      </x:c>
    </x:row>
    <x:row r="238" ht="42" customHeight="1">
      <x:c r="A238" s="9" t="str">
        <x:v>CL-FUE-0237</x:v>
      </x:c>
      <x:c r="B238" s="7" t="str">
        <x:v>Casa de la Cultura Lucy Andia de Cauquenes</x:v>
      </x:c>
      <x:c r="C238" s="7" t="str">
        <x:v>Casa de la Cultura Lucy Andia de Cauquenes</x:v>
      </x:c>
      <x:c r="D238" s="7" t="str">
        <x:v>Espacio cultural del directorio oficial</x:v>
      </x:c>
      <x:c r="E238" s="7" t="str">
        <x:v>Comunal/local</x:v>
      </x:c>
      <x:c r="F238" s="7" t="str">
        <x:v>Región del Maule</x:v>
      </x:c>
      <x:c r="G238" s="7" t="str">
        <x:v>Cauquenes</x:v>
      </x:c>
      <x:c r="H238" s="7" t="str">
        <x:v>Artes escénicas; Literatura; Patrimonio</x:v>
      </x:c>
      <x:c r="I238" s="7" t="str">
        <x:v>Canal digital por localizar</x:v>
      </x:c>
      <x:c r="J238" s="10" t="str"/>
      <x:c r="K238" s="10" t="str">
        <x:v>https://ciudadania.cultura.gob.cl/wp-content/uploads/2025/12/Directorio_Espacios-Culturales-2025_RC.pdf#page=139</x:v>
      </x:c>
      <x:c r="L238" s="7" t="str">
        <x:v>Referencia territorial</x:v>
      </x:c>
      <x:c r="M238" s="7" t="str">
        <x:v>No</x:v>
      </x:c>
      <x:c r="N238" s="7" t="str">
        <x:v>Baja</x:v>
      </x:c>
      <x:c r="O238" s="7" t="str">
        <x:v>Investigación manual</x:v>
      </x:c>
      <x:c r="P238" s="8" t="n">
        <x:v>46270.666666666664</x:v>
      </x:c>
      <x:c r="Q238" s="7" t="str">
        <x:v>Dirección OCR: San Francisco s/n, Cauquenes. Ficha PDF p. 139.</x:v>
      </x:c>
      <x:c r="R238" s="58" t="str">
        <x:v>Referencia sin agenda</x:v>
      </x:c>
      <x:c r="S238" s="60" t="n">
        <x:v>0</x:v>
      </x:c>
      <x:c r="T238" s="58" t="str">
        <x:v>alta</x:v>
      </x:c>
      <x:c r="U238" s="60"/>
      <x:c r="V238" s="58" t="str">
        <x:v>Sin dato</x:v>
      </x:c>
      <x:c r="W238" s="64" t="str"/>
      <x:c r="X238" s="62" t="n">
        <x:v>46271.058773599536</x:v>
      </x:c>
      <x:c r="Y238" s="58" t="str">
        <x:v>No es todavía una fuente digital; conservar como pista territorial.</x:v>
      </x:c>
    </x:row>
    <x:row r="239" ht="42" customHeight="1">
      <x:c r="A239" s="9" t="str">
        <x:v>CL-FUE-0238</x:v>
      </x:c>
      <x:c r="B239" s="7" t="str">
        <x:v>Centro Cultural La Candelaria</x:v>
      </x:c>
      <x:c r="C239" s="7" t="str">
        <x:v>Centro Cultural La Candelaria</x:v>
      </x:c>
      <x:c r="D239" s="7" t="str">
        <x:v>Espacio cultural del directorio oficial</x:v>
      </x:c>
      <x:c r="E239" s="7" t="str">
        <x:v>Comunal/local</x:v>
      </x:c>
      <x:c r="F239" s="7" t="str">
        <x:v>Región del Maule</x:v>
      </x:c>
      <x:c r="G239" s="7" t="str">
        <x:v>Talca</x:v>
      </x:c>
      <x:c r="H239" s="7" t="str">
        <x:v>Artes visuales; Danza</x:v>
      </x:c>
      <x:c r="I239" s="7" t="str">
        <x:v>Canal digital por localizar</x:v>
      </x:c>
      <x:c r="J239" s="10" t="str"/>
      <x:c r="K239" s="10" t="str">
        <x:v>https://ciudadania.cultura.gob.cl/wp-content/uploads/2025/12/Directorio_Espacios-Culturales-2025_RC.pdf#page=140</x:v>
      </x:c>
      <x:c r="L239" s="7" t="str">
        <x:v>Referencia territorial</x:v>
      </x:c>
      <x:c r="M239" s="7" t="str">
        <x:v>No</x:v>
      </x:c>
      <x:c r="N239" s="7" t="str">
        <x:v>Baja</x:v>
      </x:c>
      <x:c r="O239" s="7" t="str">
        <x:v>Investigación manual</x:v>
      </x:c>
      <x:c r="P239" s="8" t="n">
        <x:v>46270.666666666664</x:v>
      </x:c>
      <x:c r="Q239" s="7" t="str">
        <x:v>Dirección OCR: 3 Sur 767, Talca. Ficha PDF p. 140.</x:v>
      </x:c>
      <x:c r="R239" s="58" t="str">
        <x:v>Referencia sin agenda</x:v>
      </x:c>
      <x:c r="S239" s="60" t="n">
        <x:v>0</x:v>
      </x:c>
      <x:c r="T239" s="58" t="str">
        <x:v>alta</x:v>
      </x:c>
      <x:c r="U239" s="60"/>
      <x:c r="V239" s="58" t="str">
        <x:v>Sin dato</x:v>
      </x:c>
      <x:c r="W239" s="64" t="str"/>
      <x:c r="X239" s="62" t="n">
        <x:v>46271.058773599536</x:v>
      </x:c>
      <x:c r="Y239" s="58" t="str">
        <x:v>No es todavía una fuente digital; conservar como pista territorial.</x:v>
      </x:c>
    </x:row>
    <x:row r="240" ht="42" customHeight="1">
      <x:c r="A240" s="9" t="str">
        <x:v>CL-FUE-0239</x:v>
      </x:c>
      <x:c r="B240" s="7" t="str">
        <x:v>Centro Cultural Municipal de Talca</x:v>
      </x:c>
      <x:c r="C240" s="7" t="str">
        <x:v>Centro Cultural Municipal de Talca</x:v>
      </x:c>
      <x:c r="D240" s="7" t="str">
        <x:v>Espacio cultural del directorio oficial</x:v>
      </x:c>
      <x:c r="E240" s="7" t="str">
        <x:v>Comunal/local</x:v>
      </x:c>
      <x:c r="F240" s="7" t="str">
        <x:v>Región del Maule</x:v>
      </x:c>
      <x:c r="G240" s="7" t="str">
        <x:v>Talca</x:v>
      </x:c>
      <x:c r="H240" s="7" t="str">
        <x:v>Multidisciplinario (por clasificar)</x:v>
      </x:c>
      <x:c r="I240" s="7" t="str">
        <x:v>Canal digital por localizar</x:v>
      </x:c>
      <x:c r="J240" s="10" t="str"/>
      <x:c r="K240" s="10" t="str">
        <x:v>https://ciudadania.cultura.gob.cl/wp-content/uploads/2025/12/Directorio_Espacios-Culturales-2025_RC.pdf#page=141</x:v>
      </x:c>
      <x:c r="L240" s="7" t="str">
        <x:v>Referencia territorial</x:v>
      </x:c>
      <x:c r="M240" s="7" t="str">
        <x:v>No</x:v>
      </x:c>
      <x:c r="N240" s="7" t="str">
        <x:v>Baja</x:v>
      </x:c>
      <x:c r="O240" s="7" t="str">
        <x:v>Investigación manual</x:v>
      </x:c>
      <x:c r="P240" s="8" t="n">
        <x:v>46270.666666666664</x:v>
      </x:c>
      <x:c r="Q240" s="7" t="str">
        <x:v>Dirección OCR: 6 Oriente 1477, Talca. Ficha PDF p. 141.</x:v>
      </x:c>
      <x:c r="R240" s="58" t="str">
        <x:v>Referencia sin agenda</x:v>
      </x:c>
      <x:c r="S240" s="60" t="n">
        <x:v>0</x:v>
      </x:c>
      <x:c r="T240" s="58" t="str">
        <x:v>alta</x:v>
      </x:c>
      <x:c r="U240" s="60"/>
      <x:c r="V240" s="58" t="str">
        <x:v>Sin dato</x:v>
      </x:c>
      <x:c r="W240" s="64" t="str"/>
      <x:c r="X240" s="62" t="n">
        <x:v>46271.058773599536</x:v>
      </x:c>
      <x:c r="Y240" s="58" t="str">
        <x:v>No es todavía una fuente digital; conservar como pista territorial.</x:v>
      </x:c>
    </x:row>
    <x:row r="241" ht="42" customHeight="1">
      <x:c r="A241" s="9" t="str">
        <x:v>CL-FUE-0240</x:v>
      </x:c>
      <x:c r="B241" s="7" t="str">
        <x:v>Centro Cultural Hagase Payasito</x:v>
      </x:c>
      <x:c r="C241" s="7" t="str">
        <x:v>Centro Cultural Hagase Payasito</x:v>
      </x:c>
      <x:c r="D241" s="7" t="str">
        <x:v>Espacio cultural del directorio oficial</x:v>
      </x:c>
      <x:c r="E241" s="7" t="str">
        <x:v>Comunal/local</x:v>
      </x:c>
      <x:c r="F241" s="7" t="str">
        <x:v>Región del Maule</x:v>
      </x:c>
      <x:c r="G241" s="7" t="str">
        <x:v>Talca</x:v>
      </x:c>
      <x:c r="H241" s="7" t="str">
        <x:v>Artes escénicas; Circo</x:v>
      </x:c>
      <x:c r="I241" s="7" t="str">
        <x:v>Canal digital por localizar</x:v>
      </x:c>
      <x:c r="J241" s="10" t="str"/>
      <x:c r="K241" s="10" t="str">
        <x:v>https://ciudadania.cultura.gob.cl/wp-content/uploads/2025/12/Directorio_Espacios-Culturales-2025_RC.pdf#page=142</x:v>
      </x:c>
      <x:c r="L241" s="7" t="str">
        <x:v>Referencia territorial</x:v>
      </x:c>
      <x:c r="M241" s="7" t="str">
        <x:v>No</x:v>
      </x:c>
      <x:c r="N241" s="7" t="str">
        <x:v>Baja</x:v>
      </x:c>
      <x:c r="O241" s="7" t="str">
        <x:v>Investigación manual</x:v>
      </x:c>
      <x:c r="P241" s="8" t="n">
        <x:v>46270.666666666664</x:v>
      </x:c>
      <x:c r="Q241" s="7" t="str">
        <x:v>Dirección OCR: 22 1/2 Oriente 1421, Talca. Ficha PDF p. 142.</x:v>
      </x:c>
      <x:c r="R241" s="58" t="str">
        <x:v>Referencia sin agenda</x:v>
      </x:c>
      <x:c r="S241" s="60" t="n">
        <x:v>0</x:v>
      </x:c>
      <x:c r="T241" s="58" t="str">
        <x:v>alta</x:v>
      </x:c>
      <x:c r="U241" s="60"/>
      <x:c r="V241" s="58" t="str">
        <x:v>Sin dato</x:v>
      </x:c>
      <x:c r="W241" s="64" t="str"/>
      <x:c r="X241" s="62" t="n">
        <x:v>46271.058773599536</x:v>
      </x:c>
      <x:c r="Y241" s="58" t="str">
        <x:v>No es todavía una fuente digital; conservar como pista territorial.</x:v>
      </x:c>
    </x:row>
    <x:row r="242" ht="42" customHeight="1">
      <x:c r="A242" s="9" t="str">
        <x:v>CL-FUE-0241</x:v>
      </x:c>
      <x:c r="B242" s="7" t="str">
        <x:v>Centro de Extension Cultural y Artistica</x:v>
      </x:c>
      <x:c r="C242" s="7" t="str">
        <x:v>Centro de Extension Cultural y Artistica</x:v>
      </x:c>
      <x:c r="D242" s="7" t="str">
        <x:v>Espacio cultural del directorio oficial</x:v>
      </x:c>
      <x:c r="E242" s="7" t="str">
        <x:v>Comunal/local</x:v>
      </x:c>
      <x:c r="F242" s="7" t="str">
        <x:v>Región del Maule</x:v>
      </x:c>
      <x:c r="G242" s="7" t="str">
        <x:v>Talca</x:v>
      </x:c>
      <x:c r="H242" s="7" t="str">
        <x:v>Educación artística</x:v>
      </x:c>
      <x:c r="I242" s="7" t="str">
        <x:v>Canal digital por localizar</x:v>
      </x:c>
      <x:c r="J242" s="10" t="str"/>
      <x:c r="K242" s="10" t="str">
        <x:v>https://ciudadania.cultura.gob.cl/wp-content/uploads/2025/12/Directorio_Espacios-Culturales-2025_RC.pdf#page=143</x:v>
      </x:c>
      <x:c r="L242" s="7" t="str">
        <x:v>Referencia territorial</x:v>
      </x:c>
      <x:c r="M242" s="7" t="str">
        <x:v>No</x:v>
      </x:c>
      <x:c r="N242" s="7" t="str">
        <x:v>Baja</x:v>
      </x:c>
      <x:c r="O242" s="7" t="str">
        <x:v>Investigación manual</x:v>
      </x:c>
      <x:c r="P242" s="8" t="n">
        <x:v>46270.666666666664</x:v>
      </x:c>
      <x:c r="Q242" s="7" t="str">
        <x:v>Dirección OCR: 2 Norte 685, Talca. Ficha PDF p. 143.</x:v>
      </x:c>
      <x:c r="R242" s="58" t="str">
        <x:v>Referencia sin agenda</x:v>
      </x:c>
      <x:c r="S242" s="60" t="n">
        <x:v>0</x:v>
      </x:c>
      <x:c r="T242" s="58" t="str">
        <x:v>alta</x:v>
      </x:c>
      <x:c r="U242" s="60"/>
      <x:c r="V242" s="58" t="str">
        <x:v>Sin dato</x:v>
      </x:c>
      <x:c r="W242" s="64" t="str"/>
      <x:c r="X242" s="62" t="n">
        <x:v>46271.058773599536</x:v>
      </x:c>
      <x:c r="Y242" s="58" t="str">
        <x:v>No es todavía una fuente digital; conservar como pista territorial.</x:v>
      </x:c>
    </x:row>
    <x:row r="243" ht="42" customHeight="1">
      <x:c r="A243" s="9" t="str">
        <x:v>CL-FUE-0242</x:v>
      </x:c>
      <x:c r="B243" s="7" t="str">
        <x:v>Espacio cultural (ficha 144)</x:v>
      </x:c>
      <x:c r="C243" s="7" t="str">
        <x:v>Espacio cultural (ficha 144)</x:v>
      </x:c>
      <x:c r="D243" s="7" t="str">
        <x:v>Espacio cultural del directorio oficial</x:v>
      </x:c>
      <x:c r="E243" s="7" t="str">
        <x:v>Comunal/local</x:v>
      </x:c>
      <x:c r="F243" s="7" t="str">
        <x:v>Región del Maule</x:v>
      </x:c>
      <x:c r="G243" s="7" t="str">
        <x:v>Curicd</x:v>
      </x:c>
      <x:c r="H243" s="7" t="str">
        <x:v>Multidisciplinario (por clasificar)</x:v>
      </x:c>
      <x:c r="I243" s="7" t="str">
        <x:v>Canal digital por localizar</x:v>
      </x:c>
      <x:c r="J243" s="10" t="str"/>
      <x:c r="K243" s="10" t="str">
        <x:v>https://ciudadania.cultura.gob.cl/wp-content/uploads/2025/12/Directorio_Espacios-Culturales-2025_RC.pdf#page=144</x:v>
      </x:c>
      <x:c r="L243" s="7" t="str">
        <x:v>Referencia territorial</x:v>
      </x:c>
      <x:c r="M243" s="7" t="str">
        <x:v>No</x:v>
      </x:c>
      <x:c r="N243" s="7" t="str">
        <x:v>Baja</x:v>
      </x:c>
      <x:c r="O243" s="7" t="str">
        <x:v>Investigación manual</x:v>
      </x:c>
      <x:c r="P243" s="8" t="n">
        <x:v>46270.666666666664</x:v>
      </x:c>
      <x:c r="Q243" s="7" t="str">
        <x:v>Dirección OCR: Camino Iansa, Curicd. Ficha PDF p. 144.</x:v>
      </x:c>
      <x:c r="R243" s="58" t="str">
        <x:v>Referencia sin agenda</x:v>
      </x:c>
      <x:c r="S243" s="60" t="n">
        <x:v>0</x:v>
      </x:c>
      <x:c r="T243" s="58" t="str">
        <x:v>alta</x:v>
      </x:c>
      <x:c r="U243" s="60"/>
      <x:c r="V243" s="58" t="str">
        <x:v>Sin dato</x:v>
      </x:c>
      <x:c r="W243" s="64" t="str"/>
      <x:c r="X243" s="62" t="n">
        <x:v>46271.058773599536</x:v>
      </x:c>
      <x:c r="Y243" s="58" t="str">
        <x:v>No es todavía una fuente digital; conservar como pista territorial.</x:v>
      </x:c>
    </x:row>
    <x:row r="244" ht="42" customHeight="1">
      <x:c r="A244" s="9" t="str">
        <x:v>CL-FUE-0243</x:v>
      </x:c>
      <x:c r="B244" s="7" t="str">
        <x:v>Espacio cultural (ficha 145)</x:v>
      </x:c>
      <x:c r="C244" s="7" t="str">
        <x:v>Espacio cultural (ficha 145)</x:v>
      </x:c>
      <x:c r="D244" s="7" t="str">
        <x:v>Espacio cultural del directorio oficial</x:v>
      </x:c>
      <x:c r="E244" s="7" t="str">
        <x:v>Comunal/local</x:v>
      </x:c>
      <x:c r="F244" s="7" t="str">
        <x:v>Región del Maule</x:v>
      </x:c>
      <x:c r="G244" s="7" t="str">
        <x:v>Linares</x:v>
      </x:c>
      <x:c r="H244" s="7" t="str">
        <x:v>Teatro</x:v>
      </x:c>
      <x:c r="I244" s="7" t="str">
        <x:v>Canal digital por localizar</x:v>
      </x:c>
      <x:c r="J244" s="10" t="str"/>
      <x:c r="K244" s="10" t="str">
        <x:v>https://ciudadania.cultura.gob.cl/wp-content/uploads/2025/12/Directorio_Espacios-Culturales-2025_RC.pdf#page=145</x:v>
      </x:c>
      <x:c r="L244" s="7" t="str">
        <x:v>Referencia territorial</x:v>
      </x:c>
      <x:c r="M244" s="7" t="str">
        <x:v>No</x:v>
      </x:c>
      <x:c r="N244" s="7" t="str">
        <x:v>Baja</x:v>
      </x:c>
      <x:c r="O244" s="7" t="str">
        <x:v>Investigación manual</x:v>
      </x:c>
      <x:c r="P244" s="8" t="n">
        <x:v>46270.666666666664</x:v>
      </x:c>
      <x:c r="Q244" s="7" t="str">
        <x:v>Dirección OCR: Lautaro 88, Linares. Ficha PDF p. 145.</x:v>
      </x:c>
      <x:c r="R244" s="58" t="str">
        <x:v>Referencia sin agenda</x:v>
      </x:c>
      <x:c r="S244" s="60" t="n">
        <x:v>0</x:v>
      </x:c>
      <x:c r="T244" s="58" t="str">
        <x:v>alta</x:v>
      </x:c>
      <x:c r="U244" s="60"/>
      <x:c r="V244" s="58" t="str">
        <x:v>Sin dato</x:v>
      </x:c>
      <x:c r="W244" s="64" t="str"/>
      <x:c r="X244" s="62" t="n">
        <x:v>46271.058773599536</x:v>
      </x:c>
      <x:c r="Y244" s="58" t="str">
        <x:v>No es todavía una fuente digital; conservar como pista territorial.</x:v>
      </x:c>
    </x:row>
    <x:row r="245" ht="42" customHeight="1">
      <x:c r="A245" s="9" t="str">
        <x:v>CL-FUE-0244</x:v>
      </x:c>
      <x:c r="B245" s="7" t="str">
        <x:v>asa de la Cultura Carmen Garcia Salamanca</x:v>
      </x:c>
      <x:c r="C245" s="7" t="str">
        <x:v>asa de la Cultura Carmen Garcia Salamanca</x:v>
      </x:c>
      <x:c r="D245" s="7" t="str">
        <x:v>Espacio cultural del directorio oficial</x:v>
      </x:c>
      <x:c r="E245" s="7" t="str">
        <x:v>Comunal/local</x:v>
      </x:c>
      <x:c r="F245" s="7" t="str">
        <x:v>Región del Maule</x:v>
      </x:c>
      <x:c r="G245" s="7" t="str">
        <x:v>Pelluhue</x:v>
      </x:c>
      <x:c r="H245" s="7" t="str">
        <x:v>Multidisciplinario (por clasificar)</x:v>
      </x:c>
      <x:c r="I245" s="7" t="str">
        <x:v>Canal digital por localizar</x:v>
      </x:c>
      <x:c r="J245" s="10" t="str"/>
      <x:c r="K245" s="10" t="str">
        <x:v>https://ciudadania.cultura.gob.cl/wp-content/uploads/2025/12/Directorio_Espacios-Culturales-2025_RC.pdf#page=146</x:v>
      </x:c>
      <x:c r="L245" s="7" t="str">
        <x:v>Referencia territorial</x:v>
      </x:c>
      <x:c r="M245" s="7" t="str">
        <x:v>No</x:v>
      </x:c>
      <x:c r="N245" s="7" t="str">
        <x:v>Baja</x:v>
      </x:c>
      <x:c r="O245" s="7" t="str">
        <x:v>Investigación manual</x:v>
      </x:c>
      <x:c r="P245" s="8" t="n">
        <x:v>46270.666666666664</x:v>
      </x:c>
      <x:c r="Q245" s="7" t="str">
        <x:v>Dirección OCR: Calle 1 acceso norte Parque Costanera, Pelluhue. Ficha PDF p. 146.</x:v>
      </x:c>
      <x:c r="R245" s="58" t="str">
        <x:v>Referencia sin agenda</x:v>
      </x:c>
      <x:c r="S245" s="60" t="n">
        <x:v>0</x:v>
      </x:c>
      <x:c r="T245" s="58" t="str">
        <x:v>alta</x:v>
      </x:c>
      <x:c r="U245" s="60"/>
      <x:c r="V245" s="58" t="str">
        <x:v>Sin dato</x:v>
      </x:c>
      <x:c r="W245" s="64" t="str"/>
      <x:c r="X245" s="62" t="n">
        <x:v>46271.058773599536</x:v>
      </x:c>
      <x:c r="Y245" s="58" t="str">
        <x:v>No es todavía una fuente digital; conservar como pista territorial.</x:v>
      </x:c>
    </x:row>
    <x:row r="246" ht="42" customHeight="1">
      <x:c r="A246" s="9" t="str">
        <x:v>CL-FUE-0245</x:v>
      </x:c>
      <x:c r="B246" s="7" t="str">
        <x:v>Corporacion Cultural y de Extension de la</x:v>
      </x:c>
      <x:c r="C246" s="7" t="str">
        <x:v>Corporacion Cultural y de Extension de la</x:v>
      </x:c>
      <x:c r="D246" s="7" t="str">
        <x:v>Espacio cultural del directorio oficial</x:v>
      </x:c>
      <x:c r="E246" s="7" t="str">
        <x:v>Comunal/local</x:v>
      </x:c>
      <x:c r="F246" s="7" t="str">
        <x:v>Región del Maule</x:v>
      </x:c>
      <x:c r="G246" s="7" t="str">
        <x:v>Constitucién</x:v>
      </x:c>
      <x:c r="H246" s="7" t="str">
        <x:v>Multidisciplinario (por clasificar)</x:v>
      </x:c>
      <x:c r="I246" s="7" t="str">
        <x:v>Canal digital por localizar</x:v>
      </x:c>
      <x:c r="J246" s="10" t="str"/>
      <x:c r="K246" s="10" t="str">
        <x:v>https://ciudadania.cultura.gob.cl/wp-content/uploads/2025/12/Directorio_Espacios-Culturales-2025_RC.pdf#page=147</x:v>
      </x:c>
      <x:c r="L246" s="7" t="str">
        <x:v>Referencia territorial</x:v>
      </x:c>
      <x:c r="M246" s="7" t="str">
        <x:v>No</x:v>
      </x:c>
      <x:c r="N246" s="7" t="str">
        <x:v>Baja</x:v>
      </x:c>
      <x:c r="O246" s="7" t="str">
        <x:v>Investigación manual</x:v>
      </x:c>
      <x:c r="P246" s="8" t="n">
        <x:v>46270.666666666664</x:v>
      </x:c>
      <x:c r="Q246" s="7" t="str">
        <x:v>Dirección OCR: Cruz 440, Constitucién. Ficha PDF p. 147.</x:v>
      </x:c>
      <x:c r="R246" s="58" t="str">
        <x:v>Referencia sin agenda</x:v>
      </x:c>
      <x:c r="S246" s="60" t="n">
        <x:v>0</x:v>
      </x:c>
      <x:c r="T246" s="58" t="str">
        <x:v>alta</x:v>
      </x:c>
      <x:c r="U246" s="60"/>
      <x:c r="V246" s="58" t="str">
        <x:v>Sin dato</x:v>
      </x:c>
      <x:c r="W246" s="64" t="str"/>
      <x:c r="X246" s="62" t="n">
        <x:v>46271.058773599536</x:v>
      </x:c>
      <x:c r="Y246" s="58" t="str">
        <x:v>No es todavía una fuente digital; conservar como pista territorial.</x:v>
      </x:c>
    </x:row>
    <x:row r="247" ht="42" customHeight="1">
      <x:c r="A247" s="9" t="str">
        <x:v>CL-FUE-0246</x:v>
      </x:c>
      <x:c r="B247" s="7" t="str">
        <x:v>Casa de la Cultura Margot Loyola Palacios</x:v>
      </x:c>
      <x:c r="C247" s="7" t="str">
        <x:v>Casa de la Cultura Margot Loyola Palacios</x:v>
      </x:c>
      <x:c r="D247" s="7" t="str">
        <x:v>Espacio cultural del directorio oficial</x:v>
      </x:c>
      <x:c r="E247" s="7" t="str">
        <x:v>Comunal/local</x:v>
      </x:c>
      <x:c r="F247" s="7" t="str">
        <x:v>Región del Maule</x:v>
      </x:c>
      <x:c r="G247" s="7" t="str">
        <x:v>Linares</x:v>
      </x:c>
      <x:c r="H247" s="7" t="str">
        <x:v>Artes escénicas; Literatura; Patrimonio</x:v>
      </x:c>
      <x:c r="I247" s="7" t="str">
        <x:v>Canal digital por localizar</x:v>
      </x:c>
      <x:c r="J247" s="10" t="str"/>
      <x:c r="K247" s="10" t="str">
        <x:v>https://ciudadania.cultura.gob.cl/wp-content/uploads/2025/12/Directorio_Espacios-Culturales-2025_RC.pdf#page=148</x:v>
      </x:c>
      <x:c r="L247" s="7" t="str">
        <x:v>Referencia territorial</x:v>
      </x:c>
      <x:c r="M247" s="7" t="str">
        <x:v>No</x:v>
      </x:c>
      <x:c r="N247" s="7" t="str">
        <x:v>Baja</x:v>
      </x:c>
      <x:c r="O247" s="7" t="str">
        <x:v>Investigación manual</x:v>
      </x:c>
      <x:c r="P247" s="8" t="n">
        <x:v>46270.666666666664</x:v>
      </x:c>
      <x:c r="Q247" s="7" t="str">
        <x:v>Dirección OCR: ‘Alameda Valentin Letelier s/n, Linares. Ficha PDF p. 148.</x:v>
      </x:c>
      <x:c r="R247" s="58" t="str">
        <x:v>Referencia sin agenda</x:v>
      </x:c>
      <x:c r="S247" s="60" t="n">
        <x:v>0</x:v>
      </x:c>
      <x:c r="T247" s="58" t="str">
        <x:v>alta</x:v>
      </x:c>
      <x:c r="U247" s="60"/>
      <x:c r="V247" s="58" t="str">
        <x:v>Sin dato</x:v>
      </x:c>
      <x:c r="W247" s="64" t="str"/>
      <x:c r="X247" s="62" t="n">
        <x:v>46271.05877361111</x:v>
      </x:c>
      <x:c r="Y247" s="58" t="str">
        <x:v>No es todavía una fuente digital; conservar como pista territorial.</x:v>
      </x:c>
    </x:row>
    <x:row r="248" ht="42" customHeight="1">
      <x:c r="A248" s="9" t="str">
        <x:v>CL-FUE-0247</x:v>
      </x:c>
      <x:c r="B248" s="7" t="str">
        <x:v>Centro de Extension Universidad Catdlica</x:v>
      </x:c>
      <x:c r="C248" s="7" t="str">
        <x:v>Centro de Extension Universidad Catdlica</x:v>
      </x:c>
      <x:c r="D248" s="7" t="str">
        <x:v>Espacio cultural del directorio oficial</x:v>
      </x:c>
      <x:c r="E248" s="7" t="str">
        <x:v>Comunal/local</x:v>
      </x:c>
      <x:c r="F248" s="7" t="str">
        <x:v>Región del Maule</x:v>
      </x:c>
      <x:c r="G248" s="7" t="str">
        <x:v>Talca</x:v>
      </x:c>
      <x:c r="H248" s="7" t="str">
        <x:v>Multidisciplinario (por clasificar)</x:v>
      </x:c>
      <x:c r="I248" s="7" t="str">
        <x:v>Canal digital por localizar</x:v>
      </x:c>
      <x:c r="J248" s="10" t="str"/>
      <x:c r="K248" s="10" t="str">
        <x:v>https://ciudadania.cultura.gob.cl/wp-content/uploads/2025/12/Directorio_Espacios-Culturales-2025_RC.pdf#page=149</x:v>
      </x:c>
      <x:c r="L248" s="7" t="str">
        <x:v>Referencia territorial</x:v>
      </x:c>
      <x:c r="M248" s="7" t="str">
        <x:v>No</x:v>
      </x:c>
      <x:c r="N248" s="7" t="str">
        <x:v>Baja</x:v>
      </x:c>
      <x:c r="O248" s="7" t="str">
        <x:v>Investigación manual</x:v>
      </x:c>
      <x:c r="P248" s="8" t="n">
        <x:v>46270.666666666664</x:v>
      </x:c>
      <x:c r="Q248" s="7" t="str">
        <x:v>Dirección OCR: 3 Norte 650, Talca. Ficha PDF p. 149.</x:v>
      </x:c>
      <x:c r="R248" s="58" t="str">
        <x:v>Referencia sin agenda</x:v>
      </x:c>
      <x:c r="S248" s="60" t="n">
        <x:v>0</x:v>
      </x:c>
      <x:c r="T248" s="58" t="str">
        <x:v>alta</x:v>
      </x:c>
      <x:c r="U248" s="60"/>
      <x:c r="V248" s="58" t="str">
        <x:v>Sin dato</x:v>
      </x:c>
      <x:c r="W248" s="64" t="str"/>
      <x:c r="X248" s="62" t="n">
        <x:v>46271.05877361111</x:v>
      </x:c>
      <x:c r="Y248" s="58" t="str">
        <x:v>No es todavía una fuente digital; conservar como pista territorial.</x:v>
      </x:c>
    </x:row>
    <x:row r="249" ht="42" customHeight="1">
      <x:c r="A249" s="9" t="str">
        <x:v>CL-FUE-0248</x:v>
      </x:c>
      <x:c r="B249" s="7" t="str">
        <x:v>Teatro Municipal de Constituci6n</x:v>
      </x:c>
      <x:c r="C249" s="7" t="str">
        <x:v>Teatro Municipal de Constituci6n</x:v>
      </x:c>
      <x:c r="D249" s="7" t="str">
        <x:v>Espacio cultural del directorio oficial</x:v>
      </x:c>
      <x:c r="E249" s="7" t="str">
        <x:v>Comunal/local</x:v>
      </x:c>
      <x:c r="F249" s="7" t="str">
        <x:v>Región del Maule</x:v>
      </x:c>
      <x:c r="G249" s="7" t="str">
        <x:v>Constitucién</x:v>
      </x:c>
      <x:c r="H249" s="7" t="str">
        <x:v>Artes escénicas; Patrimonio; Teatro</x:v>
      </x:c>
      <x:c r="I249" s="7" t="str">
        <x:v>Canal digital por localizar</x:v>
      </x:c>
      <x:c r="J249" s="10" t="str"/>
      <x:c r="K249" s="10" t="str">
        <x:v>https://ciudadania.cultura.gob.cl/wp-content/uploads/2025/12/Directorio_Espacios-Culturales-2025_RC.pdf#page=150</x:v>
      </x:c>
      <x:c r="L249" s="7" t="str">
        <x:v>Referencia territorial</x:v>
      </x:c>
      <x:c r="M249" s="7" t="str">
        <x:v>No</x:v>
      </x:c>
      <x:c r="N249" s="7" t="str">
        <x:v>Baja</x:v>
      </x:c>
      <x:c r="O249" s="7" t="str">
        <x:v>Investigación manual</x:v>
      </x:c>
      <x:c r="P249" s="8" t="n">
        <x:v>46270.666666666664</x:v>
      </x:c>
      <x:c r="Q249" s="7" t="str">
        <x:v>Dirección OCR: Montt 475, Constitucién. Ficha PDF p. 150.</x:v>
      </x:c>
      <x:c r="R249" s="58" t="str">
        <x:v>Referencia sin agenda</x:v>
      </x:c>
      <x:c r="S249" s="60" t="n">
        <x:v>0</x:v>
      </x:c>
      <x:c r="T249" s="58" t="str">
        <x:v>alta</x:v>
      </x:c>
      <x:c r="U249" s="60"/>
      <x:c r="V249" s="58" t="str">
        <x:v>Sin dato</x:v>
      </x:c>
      <x:c r="W249" s="64" t="str"/>
      <x:c r="X249" s="62" t="n">
        <x:v>46271.05877361111</x:v>
      </x:c>
      <x:c r="Y249" s="58" t="str">
        <x:v>No es todavía una fuente digital; conservar como pista territorial.</x:v>
      </x:c>
    </x:row>
    <x:row r="250" ht="42" customHeight="1">
      <x:c r="A250" s="9" t="str">
        <x:v>CL-FUE-0249</x:v>
      </x:c>
      <x:c r="B250" s="7" t="str">
        <x:v>Teatro Municipal San Javier de Loncomilla</x:v>
      </x:c>
      <x:c r="C250" s="7" t="str">
        <x:v>Teatro Municipal San Javier de Loncomilla</x:v>
      </x:c>
      <x:c r="D250" s="7" t="str">
        <x:v>Espacio cultural del directorio oficial</x:v>
      </x:c>
      <x:c r="E250" s="7" t="str">
        <x:v>Comunal/local</x:v>
      </x:c>
      <x:c r="F250" s="7" t="str">
        <x:v>Región del Maule</x:v>
      </x:c>
      <x:c r="G250" s="7" t="str">
        <x:v>San Javier</x:v>
      </x:c>
      <x:c r="H250" s="7" t="str">
        <x:v>Artes escénicas; Patrimonio; Teatro</x:v>
      </x:c>
      <x:c r="I250" s="7" t="str">
        <x:v>Canal digital por localizar</x:v>
      </x:c>
      <x:c r="J250" s="10" t="str"/>
      <x:c r="K250" s="10" t="str">
        <x:v>https://ciudadania.cultura.gob.cl/wp-content/uploads/2025/12/Directorio_Espacios-Culturales-2025_RC.pdf#page=151</x:v>
      </x:c>
      <x:c r="L250" s="7" t="str">
        <x:v>Referencia territorial</x:v>
      </x:c>
      <x:c r="M250" s="7" t="str">
        <x:v>No</x:v>
      </x:c>
      <x:c r="N250" s="7" t="str">
        <x:v>Baja</x:v>
      </x:c>
      <x:c r="O250" s="7" t="str">
        <x:v>Investigación manual</x:v>
      </x:c>
      <x:c r="P250" s="8" t="n">
        <x:v>46270.666666666664</x:v>
      </x:c>
      <x:c r="Q250" s="7" t="str">
        <x:v>Dirección OCR: Arturo Prat 2480, San Javier. Ficha PDF p. 151.</x:v>
      </x:c>
      <x:c r="R250" s="58" t="str">
        <x:v>Referencia sin agenda</x:v>
      </x:c>
      <x:c r="S250" s="60" t="n">
        <x:v>0</x:v>
      </x:c>
      <x:c r="T250" s="58" t="str">
        <x:v>alta</x:v>
      </x:c>
      <x:c r="U250" s="60"/>
      <x:c r="V250" s="58" t="str">
        <x:v>Sin dato</x:v>
      </x:c>
      <x:c r="W250" s="64" t="str"/>
      <x:c r="X250" s="62" t="n">
        <x:v>46271.05877361111</x:v>
      </x:c>
      <x:c r="Y250" s="58" t="str">
        <x:v>No es todavía una fuente digital; conservar como pista territorial.</x:v>
      </x:c>
    </x:row>
    <x:row r="251" ht="42" customHeight="1">
      <x:c r="A251" s="9" t="str">
        <x:v>CL-FUE-0250</x:v>
      </x:c>
      <x:c r="B251" s="7" t="str">
        <x:v>Espacio cultural (ficha 152)</x:v>
      </x:c>
      <x:c r="C251" s="7" t="str">
        <x:v>Espacio cultural (ficha 152)</x:v>
      </x:c>
      <x:c r="D251" s="7" t="str">
        <x:v>Espacio cultural del directorio oficial</x:v>
      </x:c>
      <x:c r="E251" s="7" t="str">
        <x:v>Comunal/local</x:v>
      </x:c>
      <x:c r="F251" s="7" t="str">
        <x:v>Región del Maule</x:v>
      </x:c>
      <x:c r="G251" s="7" t="str">
        <x:v>Llongocura Alto</x:v>
      </x:c>
      <x:c r="H251" s="7" t="str">
        <x:v>Teatro</x:v>
      </x:c>
      <x:c r="I251" s="7" t="str">
        <x:v>Canal digital por localizar</x:v>
      </x:c>
      <x:c r="J251" s="10" t="str"/>
      <x:c r="K251" s="10" t="str">
        <x:v>https://ciudadania.cultura.gob.cl/wp-content/uploads/2025/12/Directorio_Espacios-Culturales-2025_RC.pdf#page=152</x:v>
      </x:c>
      <x:c r="L251" s="7" t="str">
        <x:v>Referencia territorial</x:v>
      </x:c>
      <x:c r="M251" s="7" t="str">
        <x:v>No</x:v>
      </x:c>
      <x:c r="N251" s="7" t="str">
        <x:v>Baja</x:v>
      </x:c>
      <x:c r="O251" s="7" t="str">
        <x:v>Investigación manual</x:v>
      </x:c>
      <x:c r="P251" s="8" t="n">
        <x:v>46270.666666666664</x:v>
      </x:c>
      <x:c r="Q251" s="7" t="str">
        <x:v>Dirección OCR: El Rayo s/n, Llongocura Alto. Ficha PDF p. 152.</x:v>
      </x:c>
      <x:c r="R251" s="58" t="str">
        <x:v>Referencia sin agenda</x:v>
      </x:c>
      <x:c r="S251" s="60" t="n">
        <x:v>0</x:v>
      </x:c>
      <x:c r="T251" s="58" t="str">
        <x:v>alta</x:v>
      </x:c>
      <x:c r="U251" s="60"/>
      <x:c r="V251" s="58" t="str">
        <x:v>Sin dato</x:v>
      </x:c>
      <x:c r="W251" s="64" t="str"/>
      <x:c r="X251" s="62" t="n">
        <x:v>46271.05877361111</x:v>
      </x:c>
      <x:c r="Y251" s="58" t="str">
        <x:v>No es todavía una fuente digital; conservar como pista territorial.</x:v>
      </x:c>
    </x:row>
    <x:row r="252" ht="42" customHeight="1">
      <x:c r="A252" s="9" t="str">
        <x:v>CL-FUE-0251</x:v>
      </x:c>
      <x:c r="B252" s="7" t="str">
        <x:v>La Testaruda. Museo del Teatro Maulino</x:v>
      </x:c>
      <x:c r="C252" s="7" t="str">
        <x:v>La Testaruda. Museo del Teatro Maulino</x:v>
      </x:c>
      <x:c r="D252" s="7" t="str">
        <x:v>Espacio cultural del directorio oficial</x:v>
      </x:c>
      <x:c r="E252" s="7" t="str">
        <x:v>Comunal/local</x:v>
      </x:c>
      <x:c r="F252" s="7" t="str">
        <x:v>Región del Maule</x:v>
      </x:c>
      <x:c r="G252" s="7" t="str">
        <x:v>Villa Alegre</x:v>
      </x:c>
      <x:c r="H252" s="7" t="str">
        <x:v>Artes escénicas; Teatro</x:v>
      </x:c>
      <x:c r="I252" s="7" t="str">
        <x:v>Canal digital por localizar</x:v>
      </x:c>
      <x:c r="J252" s="10" t="str"/>
      <x:c r="K252" s="10" t="str">
        <x:v>https://ciudadania.cultura.gob.cl/wp-content/uploads/2025/12/Directorio_Espacios-Culturales-2025_RC.pdf#page=153</x:v>
      </x:c>
      <x:c r="L252" s="7" t="str">
        <x:v>Referencia territorial</x:v>
      </x:c>
      <x:c r="M252" s="7" t="str">
        <x:v>No</x:v>
      </x:c>
      <x:c r="N252" s="7" t="str">
        <x:v>Baja</x:v>
      </x:c>
      <x:c r="O252" s="7" t="str">
        <x:v>Investigación manual</x:v>
      </x:c>
      <x:c r="P252" s="8" t="n">
        <x:v>46270.666666666664</x:v>
      </x:c>
      <x:c r="Q252" s="7" t="str">
        <x:v>Dirección OCR: Av. Abate Molina 1058, Villa Alegre. Ficha PDF p. 153.</x:v>
      </x:c>
      <x:c r="R252" s="58" t="str">
        <x:v>Referencia sin agenda</x:v>
      </x:c>
      <x:c r="S252" s="60" t="n">
        <x:v>0</x:v>
      </x:c>
      <x:c r="T252" s="58" t="str">
        <x:v>alta</x:v>
      </x:c>
      <x:c r="U252" s="60"/>
      <x:c r="V252" s="58" t="str">
        <x:v>Sin dato</x:v>
      </x:c>
      <x:c r="W252" s="64" t="str"/>
      <x:c r="X252" s="62" t="n">
        <x:v>46271.05877361111</x:v>
      </x:c>
      <x:c r="Y252" s="58" t="str">
        <x:v>No es todavía una fuente digital; conservar como pista territorial.</x:v>
      </x:c>
    </x:row>
    <x:row r="253" ht="42" customHeight="1">
      <x:c r="A253" s="9" t="str">
        <x:v>CL-FUE-0252</x:v>
      </x:c>
      <x:c r="B253" s="7" t="str">
        <x:v>Espacio cultural (ficha 154)</x:v>
      </x:c>
      <x:c r="C253" s="7" t="str">
        <x:v>Espacio cultural (ficha 154)</x:v>
      </x:c>
      <x:c r="D253" s="7" t="str">
        <x:v>Espacio cultural del directorio oficial</x:v>
      </x:c>
      <x:c r="E253" s="7" t="str">
        <x:v>Comunal/local</x:v>
      </x:c>
      <x:c r="F253" s="7" t="str">
        <x:v>Región del Maule</x:v>
      </x:c>
      <x:c r="G253" s="7" t="str"/>
      <x:c r="H253" s="7" t="str">
        <x:v>Patrimonio; Teatro</x:v>
      </x:c>
      <x:c r="I253" s="7" t="str">
        <x:v>Canal digital por localizar</x:v>
      </x:c>
      <x:c r="J253" s="10" t="str"/>
      <x:c r="K253" s="10" t="str">
        <x:v>https://ciudadania.cultura.gob.cl/wp-content/uploads/2025/12/Directorio_Espacios-Culturales-2025_RC.pdf#page=154</x:v>
      </x:c>
      <x:c r="L253" s="7" t="str">
        <x:v>Referencia territorial</x:v>
      </x:c>
      <x:c r="M253" s="7" t="str">
        <x:v>No</x:v>
      </x:c>
      <x:c r="N253" s="7" t="str">
        <x:v>Baja</x:v>
      </x:c>
      <x:c r="O253" s="7" t="str">
        <x:v>Investigación manual</x:v>
      </x:c>
      <x:c r="P253" s="8" t="n">
        <x:v>46270.666666666664</x:v>
      </x:c>
      <x:c r="Q253" s="7" t="str">
        <x:v>Dirección OCR: 1 Oriente 1484. Ficha PDF p. 154.</x:v>
      </x:c>
      <x:c r="R253" s="58" t="str">
        <x:v>Referencia sin agenda</x:v>
      </x:c>
      <x:c r="S253" s="60" t="n">
        <x:v>0</x:v>
      </x:c>
      <x:c r="T253" s="58" t="str">
        <x:v>alta</x:v>
      </x:c>
      <x:c r="U253" s="60"/>
      <x:c r="V253" s="58" t="str">
        <x:v>Sin dato</x:v>
      </x:c>
      <x:c r="W253" s="64" t="str"/>
      <x:c r="X253" s="62" t="n">
        <x:v>46271.05877361111</x:v>
      </x:c>
      <x:c r="Y253" s="58" t="str">
        <x:v>No es todavía una fuente digital; conservar como pista territorial.</x:v>
      </x:c>
    </x:row>
    <x:row r="254" ht="42" customHeight="1">
      <x:c r="A254" s="9" t="str">
        <x:v>CL-FUE-0253</x:v>
      </x:c>
      <x:c r="B254" s="7" t="str">
        <x:v>Espacio cultural (ficha 155)</x:v>
      </x:c>
      <x:c r="C254" s="7" t="str">
        <x:v>Espacio cultural (ficha 155)</x:v>
      </x:c>
      <x:c r="D254" s="7" t="str">
        <x:v>Espacio cultural del directorio oficial</x:v>
      </x:c>
      <x:c r="E254" s="7" t="str">
        <x:v>Comunal/local</x:v>
      </x:c>
      <x:c r="F254" s="7" t="str">
        <x:v>Región del Maule</x:v>
      </x:c>
      <x:c r="G254" s="7" t="str">
        <x:v>Huilliborgoa</x:v>
      </x:c>
      <x:c r="H254" s="7" t="str">
        <x:v>Multidisciplinario (por clasificar)</x:v>
      </x:c>
      <x:c r="I254" s="7" t="str">
        <x:v>Canal digital por localizar</x:v>
      </x:c>
      <x:c r="J254" s="10" t="str"/>
      <x:c r="K254" s="10" t="str">
        <x:v>https://ciudadania.cultura.gob.cl/wp-content/uploads/2025/12/Directorio_Espacios-Culturales-2025_RC.pdf#page=155</x:v>
      </x:c>
      <x:c r="L254" s="7" t="str">
        <x:v>Referencia territorial</x:v>
      </x:c>
      <x:c r="M254" s="7" t="str">
        <x:v>No</x:v>
      </x:c>
      <x:c r="N254" s="7" t="str">
        <x:v>Baja</x:v>
      </x:c>
      <x:c r="O254" s="7" t="str">
        <x:v>Investigación manual</x:v>
      </x:c>
      <x:c r="P254" s="8" t="n">
        <x:v>46270.666666666664</x:v>
      </x:c>
      <x:c r="Q254" s="7" t="str">
        <x:v>Dirección OCR: La Fortuna 41, Huilliborgoa. Ficha PDF p. 155.</x:v>
      </x:c>
      <x:c r="R254" s="58" t="str">
        <x:v>Referencia sin agenda</x:v>
      </x:c>
      <x:c r="S254" s="60" t="n">
        <x:v>0</x:v>
      </x:c>
      <x:c r="T254" s="58" t="str">
        <x:v>alta</x:v>
      </x:c>
      <x:c r="U254" s="60"/>
      <x:c r="V254" s="58" t="str">
        <x:v>Sin dato</x:v>
      </x:c>
      <x:c r="W254" s="64" t="str"/>
      <x:c r="X254" s="62" t="n">
        <x:v>46271.05877361111</x:v>
      </x:c>
      <x:c r="Y254" s="58" t="str">
        <x:v>No es todavía una fuente digital; conservar como pista territorial.</x:v>
      </x:c>
    </x:row>
    <x:row r="255" ht="42" customHeight="1">
      <x:c r="A255" s="9" t="str">
        <x:v>CL-FUE-0254</x:v>
      </x:c>
      <x:c r="B255" s="7" t="str">
        <x:v>Espacio cultural (ficha 156)</x:v>
      </x:c>
      <x:c r="C255" s="7" t="str">
        <x:v>Espacio cultural (ficha 156)</x:v>
      </x:c>
      <x:c r="D255" s="7" t="str">
        <x:v>Espacio cultural del directorio oficial</x:v>
      </x:c>
      <x:c r="E255" s="7" t="str">
        <x:v>Comunal/local</x:v>
      </x:c>
      <x:c r="F255" s="7" t="str">
        <x:v>Región del Maule</x:v>
      </x:c>
      <x:c r="G255" s="7" t="str">
        <x:v>sector Duao</x:v>
      </x:c>
      <x:c r="H255" s="7" t="str">
        <x:v>Patrimonio</x:v>
      </x:c>
      <x:c r="I255" s="7" t="str">
        <x:v>Canal digital por localizar</x:v>
      </x:c>
      <x:c r="J255" s="10" t="str"/>
      <x:c r="K255" s="10" t="str">
        <x:v>https://ciudadania.cultura.gob.cl/wp-content/uploads/2025/12/Directorio_Espacios-Culturales-2025_RC.pdf#page=156</x:v>
      </x:c>
      <x:c r="L255" s="7" t="str">
        <x:v>Referencia territorial</x:v>
      </x:c>
      <x:c r="M255" s="7" t="str">
        <x:v>No</x:v>
      </x:c>
      <x:c r="N255" s="7" t="str">
        <x:v>Baja</x:v>
      </x:c>
      <x:c r="O255" s="7" t="str">
        <x:v>Investigación manual</x:v>
      </x:c>
      <x:c r="P255" s="8" t="n">
        <x:v>46270.666666666664</x:v>
      </x:c>
      <x:c r="Q255" s="7" t="str">
        <x:v>Dirección OCR: Ruta k635 s/n, sector Duao. Ficha PDF p. 156.</x:v>
      </x:c>
      <x:c r="R255" s="58" t="str">
        <x:v>Referencia sin agenda</x:v>
      </x:c>
      <x:c r="S255" s="60" t="n">
        <x:v>0</x:v>
      </x:c>
      <x:c r="T255" s="58" t="str">
        <x:v>alta</x:v>
      </x:c>
      <x:c r="U255" s="60"/>
      <x:c r="V255" s="58" t="str">
        <x:v>Sin dato</x:v>
      </x:c>
      <x:c r="W255" s="64" t="str"/>
      <x:c r="X255" s="62" t="n">
        <x:v>46271.05877361111</x:v>
      </x:c>
      <x:c r="Y255" s="58" t="str">
        <x:v>No es todavía una fuente digital; conservar como pista territorial.</x:v>
      </x:c>
    </x:row>
    <x:row r="256" ht="42" customHeight="1">
      <x:c r="A256" s="9" t="str">
        <x:v>CL-FUE-0255</x:v>
      </x:c>
      <x:c r="B256" s="7" t="str">
        <x:v>Asociacio6n Mezclados</x:v>
      </x:c>
      <x:c r="C256" s="7" t="str">
        <x:v>Asociacio6n Mezclados</x:v>
      </x:c>
      <x:c r="D256" s="7" t="str">
        <x:v>Espacio cultural del directorio oficial</x:v>
      </x:c>
      <x:c r="E256" s="7" t="str">
        <x:v>Comunal/local</x:v>
      </x:c>
      <x:c r="F256" s="7" t="str">
        <x:v>Región del Maule</x:v>
      </x:c>
      <x:c r="G256" s="7" t="str">
        <x:v>Huilliborgoa</x:v>
      </x:c>
      <x:c r="H256" s="7" t="str">
        <x:v>Multidisciplinario (por clasificar)</x:v>
      </x:c>
      <x:c r="I256" s="7" t="str">
        <x:v>Canal digital por localizar</x:v>
      </x:c>
      <x:c r="J256" s="10" t="str"/>
      <x:c r="K256" s="10" t="str">
        <x:v>https://ciudadania.cultura.gob.cl/wp-content/uploads/2025/12/Directorio_Espacios-Culturales-2025_RC.pdf#page=157</x:v>
      </x:c>
      <x:c r="L256" s="7" t="str">
        <x:v>Referencia territorial</x:v>
      </x:c>
      <x:c r="M256" s="7" t="str">
        <x:v>No</x:v>
      </x:c>
      <x:c r="N256" s="7" t="str">
        <x:v>Baja</x:v>
      </x:c>
      <x:c r="O256" s="7" t="str">
        <x:v>Investigación manual</x:v>
      </x:c>
      <x:c r="P256" s="8" t="n">
        <x:v>46270.666666666664</x:v>
      </x:c>
      <x:c r="Q256" s="7" t="str">
        <x:v>Dirección OCR: La Fortuna 41, Huilliborgoa. Ficha PDF p. 157. Posible ficha duplicada o recinto compartido; revisar antes de crear una fuente independiente.</x:v>
      </x:c>
      <x:c r="R256" s="58" t="str">
        <x:v>Referencia sin agenda</x:v>
      </x:c>
      <x:c r="S256" s="60" t="n">
        <x:v>0</x:v>
      </x:c>
      <x:c r="T256" s="58" t="str">
        <x:v>alta</x:v>
      </x:c>
      <x:c r="U256" s="60"/>
      <x:c r="V256" s="58" t="str">
        <x:v>Sin dato</x:v>
      </x:c>
      <x:c r="W256" s="64" t="str"/>
      <x:c r="X256" s="62" t="n">
        <x:v>46271.05877361111</x:v>
      </x:c>
      <x:c r="Y256" s="58" t="str">
        <x:v>No es todavía una fuente digital; conservar como pista territorial.</x:v>
      </x:c>
    </x:row>
    <x:row r="257" ht="42" customHeight="1">
      <x:c r="A257" s="9" t="str">
        <x:v>CL-FUE-0256</x:v>
      </x:c>
      <x:c r="B257" s="7" t="str">
        <x:v>Jorporacién Cultural Corinto</x:v>
      </x:c>
      <x:c r="C257" s="7" t="str">
        <x:v>Jorporacién Cultural Corinto</x:v>
      </x:c>
      <x:c r="D257" s="7" t="str">
        <x:v>Espacio cultural del directorio oficial</x:v>
      </x:c>
      <x:c r="E257" s="7" t="str">
        <x:v>Comunal/local</x:v>
      </x:c>
      <x:c r="F257" s="7" t="str">
        <x:v>Región del Maule</x:v>
      </x:c>
      <x:c r="G257" s="7" t="str"/>
      <x:c r="H257" s="7" t="str">
        <x:v>Patrimonio</x:v>
      </x:c>
      <x:c r="I257" s="7" t="str">
        <x:v>Canal digital por localizar</x:v>
      </x:c>
      <x:c r="J257" s="10" t="str"/>
      <x:c r="K257" s="10" t="str">
        <x:v>https://ciudadania.cultura.gob.cl/wp-content/uploads/2025/12/Directorio_Espacios-Culturales-2025_RC.pdf#page=158</x:v>
      </x:c>
      <x:c r="L257" s="7" t="str">
        <x:v>Referencia territorial</x:v>
      </x:c>
      <x:c r="M257" s="7" t="str">
        <x:v>No</x:v>
      </x:c>
      <x:c r="N257" s="7" t="str">
        <x:v>Baja</x:v>
      </x:c>
      <x:c r="O257" s="7" t="str">
        <x:v>Investigación manual</x:v>
      </x:c>
      <x:c r="P257" s="8" t="n">
        <x:v>46270.666666666664</x:v>
      </x:c>
      <x:c r="Q257" s="7" t="str">
        <x:v>Dirección OCR: Ignacio Carrera Pinto s/n Corinto. Ficha PDF p. 158.</x:v>
      </x:c>
      <x:c r="R257" s="58" t="str">
        <x:v>Referencia sin agenda</x:v>
      </x:c>
      <x:c r="S257" s="60" t="n">
        <x:v>0</x:v>
      </x:c>
      <x:c r="T257" s="58" t="str">
        <x:v>alta</x:v>
      </x:c>
      <x:c r="U257" s="60"/>
      <x:c r="V257" s="58" t="str">
        <x:v>Sin dato</x:v>
      </x:c>
      <x:c r="W257" s="64" t="str"/>
      <x:c r="X257" s="62" t="n">
        <x:v>46271.05877361111</x:v>
      </x:c>
      <x:c r="Y257" s="58" t="str">
        <x:v>No es todavía una fuente digital; conservar como pista territorial.</x:v>
      </x:c>
    </x:row>
    <x:row r="258" ht="42" customHeight="1">
      <x:c r="A258" s="9" t="str">
        <x:v>CL-FUE-0257</x:v>
      </x:c>
      <x:c r="B258" s="7" t="str">
        <x:v>© _malborno@utalca.cl</x:v>
      </x:c>
      <x:c r="C258" s="7" t="str">
        <x:v>© _malborno@utalca.cl</x:v>
      </x:c>
      <x:c r="D258" s="7" t="str">
        <x:v>Espacio cultural del directorio oficial</x:v>
      </x:c>
      <x:c r="E258" s="7" t="str">
        <x:v>Comunal/local</x:v>
      </x:c>
      <x:c r="F258" s="7" t="str">
        <x:v>Región del Maule</x:v>
      </x:c>
      <x:c r="G258" s="7" t="str"/>
      <x:c r="H258" s="7" t="str">
        <x:v>Multidisciplinario (por clasificar)</x:v>
      </x:c>
      <x:c r="I258" s="7" t="str">
        <x:v>Canal digital por localizar</x:v>
      </x:c>
      <x:c r="J258" s="10" t="str"/>
      <x:c r="K258" s="10" t="str">
        <x:v>https://ciudadania.cultura.gob.cl/wp-content/uploads/2025/12/Directorio_Espacios-Culturales-2025_RC.pdf#page=159</x:v>
      </x:c>
      <x:c r="L258" s="7" t="str">
        <x:v>Referencia territorial</x:v>
      </x:c>
      <x:c r="M258" s="7" t="str">
        <x:v>No</x:v>
      </x:c>
      <x:c r="N258" s="7" t="str">
        <x:v>Baja</x:v>
      </x:c>
      <x:c r="O258" s="7" t="str">
        <x:v>Investigación manual</x:v>
      </x:c>
      <x:c r="P258" s="8" t="n">
        <x:v>46270.666666666664</x:v>
      </x:c>
      <x:c r="Q258" s="7" t="str">
        <x:v>Dirección OCR: de Extension Cultural. Ficha PDF p. 159.</x:v>
      </x:c>
      <x:c r="R258" s="58" t="str">
        <x:v>Referencia sin agenda</x:v>
      </x:c>
      <x:c r="S258" s="60" t="n">
        <x:v>0</x:v>
      </x:c>
      <x:c r="T258" s="58" t="str">
        <x:v>alta</x:v>
      </x:c>
      <x:c r="U258" s="60"/>
      <x:c r="V258" s="58" t="str">
        <x:v>Sin dato</x:v>
      </x:c>
      <x:c r="W258" s="64" t="str"/>
      <x:c r="X258" s="62" t="n">
        <x:v>46271.05877361111</x:v>
      </x:c>
      <x:c r="Y258" s="58" t="str">
        <x:v>No es todavía una fuente digital; conservar como pista territorial.</x:v>
      </x:c>
    </x:row>
    <x:row r="259" ht="42" customHeight="1">
      <x:c r="A259" s="9" t="str">
        <x:v>CL-FUE-0258</x:v>
      </x:c>
      <x:c r="B259" s="7" t="str">
        <x:v>Espacio cultural (ficha 160)</x:v>
      </x:c>
      <x:c r="C259" s="7" t="str">
        <x:v>Espacio cultural (ficha 160)</x:v>
      </x:c>
      <x:c r="D259" s="7" t="str">
        <x:v>Espacio cultural del directorio oficial</x:v>
      </x:c>
      <x:c r="E259" s="7" t="str">
        <x:v>Comunal/local</x:v>
      </x:c>
      <x:c r="F259" s="7" t="str">
        <x:v>Región del Maule</x:v>
      </x:c>
      <x:c r="G259" s="7" t="str">
        <x:v>Talca</x:v>
      </x:c>
      <x:c r="H259" s="7" t="str">
        <x:v>Artes visuales</x:v>
      </x:c>
      <x:c r="I259" s="7" t="str">
        <x:v>Canal digital por localizar</x:v>
      </x:c>
      <x:c r="J259" s="10" t="str"/>
      <x:c r="K259" s="10" t="str">
        <x:v>https://ciudadania.cultura.gob.cl/wp-content/uploads/2025/12/Directorio_Espacios-Culturales-2025_RC.pdf#page=160</x:v>
      </x:c>
      <x:c r="L259" s="7" t="str">
        <x:v>Referencia territorial</x:v>
      </x:c>
      <x:c r="M259" s="7" t="str">
        <x:v>No</x:v>
      </x:c>
      <x:c r="N259" s="7" t="str">
        <x:v>Baja</x:v>
      </x:c>
      <x:c r="O259" s="7" t="str">
        <x:v>Investigación manual</x:v>
      </x:c>
      <x:c r="P259" s="8" t="n">
        <x:v>46270.666666666664</x:v>
      </x:c>
      <x:c r="Q259" s="7" t="str">
        <x:v>Dirección OCR: 8 Oriente 925, Talca. Ficha PDF p. 160.</x:v>
      </x:c>
      <x:c r="R259" s="58" t="str">
        <x:v>Referencia sin agenda</x:v>
      </x:c>
      <x:c r="S259" s="60" t="n">
        <x:v>0</x:v>
      </x:c>
      <x:c r="T259" s="58" t="str">
        <x:v>alta</x:v>
      </x:c>
      <x:c r="U259" s="60"/>
      <x:c r="V259" s="58" t="str">
        <x:v>Sin dato</x:v>
      </x:c>
      <x:c r="W259" s="64" t="str"/>
      <x:c r="X259" s="62" t="n">
        <x:v>46271.05877361111</x:v>
      </x:c>
      <x:c r="Y259" s="58" t="str">
        <x:v>No es todavía una fuente digital; conservar como pista territorial.</x:v>
      </x:c>
    </x:row>
    <x:row r="260" ht="42" customHeight="1">
      <x:c r="A260" s="9" t="str">
        <x:v>CL-FUE-0259</x:v>
      </x:c>
      <x:c r="B260" s="7" t="str">
        <x:v>Espacio cultural (ficha 161)</x:v>
      </x:c>
      <x:c r="C260" s="7" t="str">
        <x:v>Espacio cultural (ficha 161)</x:v>
      </x:c>
      <x:c r="D260" s="7" t="str">
        <x:v>Espacio cultural del directorio oficial</x:v>
      </x:c>
      <x:c r="E260" s="7" t="str">
        <x:v>Comunal/local</x:v>
      </x:c>
      <x:c r="F260" s="7" t="str">
        <x:v>Región del Maule</x:v>
      </x:c>
      <x:c r="G260" s="7" t="str">
        <x:v>Molina</x:v>
      </x:c>
      <x:c r="H260" s="7" t="str">
        <x:v>Multidisciplinario (por clasificar)</x:v>
      </x:c>
      <x:c r="I260" s="7" t="str">
        <x:v>Canal digital por localizar</x:v>
      </x:c>
      <x:c r="J260" s="10" t="str"/>
      <x:c r="K260" s="10" t="str">
        <x:v>https://ciudadania.cultura.gob.cl/wp-content/uploads/2025/12/Directorio_Espacios-Culturales-2025_RC.pdf#page=161</x:v>
      </x:c>
      <x:c r="L260" s="7" t="str">
        <x:v>Referencia territorial</x:v>
      </x:c>
      <x:c r="M260" s="7" t="str">
        <x:v>No</x:v>
      </x:c>
      <x:c r="N260" s="7" t="str">
        <x:v>Baja</x:v>
      </x:c>
      <x:c r="O260" s="7" t="str">
        <x:v>Investigación manual</x:v>
      </x:c>
      <x:c r="P260" s="8" t="n">
        <x:v>46270.666666666664</x:v>
      </x:c>
      <x:c r="Q260" s="7" t="str">
        <x:v>Dirección OCR: Calle Independencia 1846, Molina. Ficha PDF p. 161.</x:v>
      </x:c>
      <x:c r="R260" s="58" t="str">
        <x:v>Referencia sin agenda</x:v>
      </x:c>
      <x:c r="S260" s="60" t="n">
        <x:v>0</x:v>
      </x:c>
      <x:c r="T260" s="58" t="str">
        <x:v>alta</x:v>
      </x:c>
      <x:c r="U260" s="60"/>
      <x:c r="V260" s="58" t="str">
        <x:v>Sin dato</x:v>
      </x:c>
      <x:c r="W260" s="64" t="str"/>
      <x:c r="X260" s="62" t="n">
        <x:v>46271.05877361111</x:v>
      </x:c>
      <x:c r="Y260" s="58" t="str">
        <x:v>No es todavía una fuente digital; conservar como pista territorial.</x:v>
      </x:c>
    </x:row>
    <x:row r="261" ht="42" customHeight="1">
      <x:c r="A261" s="9" t="str">
        <x:v>CL-FUE-0260</x:v>
      </x:c>
      <x:c r="B261" s="7" t="str">
        <x:v>Centro de extension cultural UCM Curico</x:v>
      </x:c>
      <x:c r="C261" s="7" t="str">
        <x:v>Centro de extension cultural UCM Curico</x:v>
      </x:c>
      <x:c r="D261" s="7" t="str">
        <x:v>Espacio cultural del directorio oficial</x:v>
      </x:c>
      <x:c r="E261" s="7" t="str">
        <x:v>Comunal/local</x:v>
      </x:c>
      <x:c r="F261" s="7" t="str">
        <x:v>Región del Maule</x:v>
      </x:c>
      <x:c r="G261" s="7" t="str">
        <x:v>Curicé</x:v>
      </x:c>
      <x:c r="H261" s="7" t="str">
        <x:v>Patrimonio</x:v>
      </x:c>
      <x:c r="I261" s="7" t="str">
        <x:v>Canal digital por localizar</x:v>
      </x:c>
      <x:c r="J261" s="10" t="str"/>
      <x:c r="K261" s="10" t="str">
        <x:v>https://ciudadania.cultura.gob.cl/wp-content/uploads/2025/12/Directorio_Espacios-Culturales-2025_RC.pdf#page=162</x:v>
      </x:c>
      <x:c r="L261" s="7" t="str">
        <x:v>Referencia territorial</x:v>
      </x:c>
      <x:c r="M261" s="7" t="str">
        <x:v>No</x:v>
      </x:c>
      <x:c r="N261" s="7" t="str">
        <x:v>Baja</x:v>
      </x:c>
      <x:c r="O261" s="7" t="str">
        <x:v>Investigación manual</x:v>
      </x:c>
      <x:c r="P261" s="8" t="n">
        <x:v>46270.666666666664</x:v>
      </x:c>
      <x:c r="Q261" s="7" t="str">
        <x:v>Dirección OCR: Prat 220, Curicé. Ficha PDF p. 162.</x:v>
      </x:c>
      <x:c r="R261" s="58" t="str">
        <x:v>Referencia sin agenda</x:v>
      </x:c>
      <x:c r="S261" s="60" t="n">
        <x:v>0</x:v>
      </x:c>
      <x:c r="T261" s="58" t="str">
        <x:v>alta</x:v>
      </x:c>
      <x:c r="U261" s="60"/>
      <x:c r="V261" s="58" t="str">
        <x:v>Sin dato</x:v>
      </x:c>
      <x:c r="W261" s="64" t="str"/>
      <x:c r="X261" s="62" t="n">
        <x:v>46271.05877361111</x:v>
      </x:c>
      <x:c r="Y261" s="58" t="str">
        <x:v>No es todavía una fuente digital; conservar como pista territorial.</x:v>
      </x:c>
    </x:row>
    <x:row r="262" ht="42" customHeight="1">
      <x:c r="A262" s="9" t="str">
        <x:v>CL-FUE-0261</x:v>
      </x:c>
      <x:c r="B262" s="7" t="str">
        <x:v>Espacio cultural (ficha 163)</x:v>
      </x:c>
      <x:c r="C262" s="7" t="str">
        <x:v>Espacio cultural (ficha 163)</x:v>
      </x:c>
      <x:c r="D262" s="7" t="str">
        <x:v>Espacio cultural del directorio oficial</x:v>
      </x:c>
      <x:c r="E262" s="7" t="str">
        <x:v>Comunal/local</x:v>
      </x:c>
      <x:c r="F262" s="7" t="str">
        <x:v>Región del Maule</x:v>
      </x:c>
      <x:c r="G262" s="7" t="str">
        <x:v>Talca</x:v>
      </x:c>
      <x:c r="H262" s="7" t="str">
        <x:v>Multidisciplinario (por clasificar)</x:v>
      </x:c>
      <x:c r="I262" s="7" t="str">
        <x:v>Canal digital por localizar</x:v>
      </x:c>
      <x:c r="J262" s="10" t="str"/>
      <x:c r="K262" s="10" t="str">
        <x:v>https://ciudadania.cultura.gob.cl/wp-content/uploads/2025/12/Directorio_Espacios-Culturales-2025_RC.pdf#page=163</x:v>
      </x:c>
      <x:c r="L262" s="7" t="str">
        <x:v>Referencia territorial</x:v>
      </x:c>
      <x:c r="M262" s="7" t="str">
        <x:v>No</x:v>
      </x:c>
      <x:c r="N262" s="7" t="str">
        <x:v>Baja</x:v>
      </x:c>
      <x:c r="O262" s="7" t="str">
        <x:v>Investigación manual</x:v>
      </x:c>
      <x:c r="P262" s="8" t="n">
        <x:v>46270.666666666664</x:v>
      </x:c>
      <x:c r="Q262" s="7" t="str">
        <x:v>Dirección OCR: Calle 2 Oriente 884, Talca. Ficha PDF p. 163.</x:v>
      </x:c>
      <x:c r="R262" s="58" t="str">
        <x:v>Referencia sin agenda</x:v>
      </x:c>
      <x:c r="S262" s="60" t="n">
        <x:v>0</x:v>
      </x:c>
      <x:c r="T262" s="58" t="str">
        <x:v>alta</x:v>
      </x:c>
      <x:c r="U262" s="60"/>
      <x:c r="V262" s="58" t="str">
        <x:v>Sin dato</x:v>
      </x:c>
      <x:c r="W262" s="64" t="str"/>
      <x:c r="X262" s="62" t="n">
        <x:v>46271.05877361111</x:v>
      </x:c>
      <x:c r="Y262" s="58" t="str">
        <x:v>No es todavía una fuente digital; conservar como pista territorial.</x:v>
      </x:c>
    </x:row>
    <x:row r="263" ht="42" customHeight="1">
      <x:c r="A263" s="9" t="str">
        <x:v>CL-FUE-0262</x:v>
      </x:c>
      <x:c r="B263" s="7" t="str">
        <x:v>Fundacion Wayka Tierra de las Artes</x:v>
      </x:c>
      <x:c r="C263" s="7" t="str">
        <x:v>Fundacion Wayka Tierra de las Artes</x:v>
      </x:c>
      <x:c r="D263" s="7" t="str">
        <x:v>Espacio cultural del directorio oficial</x:v>
      </x:c>
      <x:c r="E263" s="7" t="str">
        <x:v>Comunal/local</x:v>
      </x:c>
      <x:c r="F263" s="7" t="str">
        <x:v>Región del Maule</x:v>
      </x:c>
      <x:c r="G263" s="7" t="str">
        <x:v>Colbun</x:v>
      </x:c>
      <x:c r="H263" s="7" t="str">
        <x:v>Artes escénicas; Música; Patrimonio</x:v>
      </x:c>
      <x:c r="I263" s="7" t="str">
        <x:v>Canal digital por localizar</x:v>
      </x:c>
      <x:c r="J263" s="10" t="str"/>
      <x:c r="K263" s="10" t="str">
        <x:v>https://ciudadania.cultura.gob.cl/wp-content/uploads/2025/12/Directorio_Espacios-Culturales-2025_RC.pdf#page=164</x:v>
      </x:c>
      <x:c r="L263" s="7" t="str">
        <x:v>Referencia territorial</x:v>
      </x:c>
      <x:c r="M263" s="7" t="str">
        <x:v>No</x:v>
      </x:c>
      <x:c r="N263" s="7" t="str">
        <x:v>Baja</x:v>
      </x:c>
      <x:c r="O263" s="7" t="str">
        <x:v>Investigación manual</x:v>
      </x:c>
      <x:c r="P263" s="8" t="n">
        <x:v>46270.666666666664</x:v>
      </x:c>
      <x:c r="Q263" s="7" t="str">
        <x:v>Dirección OCR: Camino a Rari km 4,5 s/n, Colbun. Ficha PDF p. 164.</x:v>
      </x:c>
      <x:c r="R263" s="58" t="str">
        <x:v>Referencia sin agenda</x:v>
      </x:c>
      <x:c r="S263" s="60" t="n">
        <x:v>0</x:v>
      </x:c>
      <x:c r="T263" s="58" t="str">
        <x:v>alta</x:v>
      </x:c>
      <x:c r="U263" s="60"/>
      <x:c r="V263" s="58" t="str">
        <x:v>Sin dato</x:v>
      </x:c>
      <x:c r="W263" s="64" t="str"/>
      <x:c r="X263" s="62" t="n">
        <x:v>46271.05877361111</x:v>
      </x:c>
      <x:c r="Y263" s="58" t="str">
        <x:v>No es todavía una fuente digital; conservar como pista territorial.</x:v>
      </x:c>
    </x:row>
    <x:row r="264" ht="42" customHeight="1">
      <x:c r="A264" s="9" t="str">
        <x:v>CL-FUE-0263</x:v>
      </x:c>
      <x:c r="B264" s="7" t="str">
        <x:v>Espacio cultural (ficha 165)</x:v>
      </x:c>
      <x:c r="C264" s="7" t="str">
        <x:v>Espacio cultural (ficha 165)</x:v>
      </x:c>
      <x:c r="D264" s="7" t="str">
        <x:v>Espacio cultural del directorio oficial</x:v>
      </x:c>
      <x:c r="E264" s="7" t="str">
        <x:v>Comunal/local</x:v>
      </x:c>
      <x:c r="F264" s="7" t="str">
        <x:v>Región del Maule</x:v>
      </x:c>
      <x:c r="G264" s="7" t="str">
        <x:v>Curanipe</x:v>
      </x:c>
      <x:c r="H264" s="7" t="str">
        <x:v>Multidisciplinario (por clasificar)</x:v>
      </x:c>
      <x:c r="I264" s="7" t="str">
        <x:v>Canal digital por localizar</x:v>
      </x:c>
      <x:c r="J264" s="10" t="str"/>
      <x:c r="K264" s="10" t="str">
        <x:v>https://ciudadania.cultura.gob.cl/wp-content/uploads/2025/12/Directorio_Espacios-Culturales-2025_RC.pdf#page=165</x:v>
      </x:c>
      <x:c r="L264" s="7" t="str">
        <x:v>Referencia territorial</x:v>
      </x:c>
      <x:c r="M264" s="7" t="str">
        <x:v>No</x:v>
      </x:c>
      <x:c r="N264" s="7" t="str">
        <x:v>Baja</x:v>
      </x:c>
      <x:c r="O264" s="7" t="str">
        <x:v>Investigación manual</x:v>
      </x:c>
      <x:c r="P264" s="8" t="n">
        <x:v>46270.666666666664</x:v>
      </x:c>
      <x:c r="Q264" s="7" t="str">
        <x:v>Dirección OCR: Samuel Jofré 359, Curanipe. Ficha PDF p. 165.</x:v>
      </x:c>
      <x:c r="R264" s="58" t="str">
        <x:v>Referencia sin agenda</x:v>
      </x:c>
      <x:c r="S264" s="60" t="n">
        <x:v>0</x:v>
      </x:c>
      <x:c r="T264" s="58" t="str">
        <x:v>alta</x:v>
      </x:c>
      <x:c r="U264" s="60"/>
      <x:c r="V264" s="58" t="str">
        <x:v>Sin dato</x:v>
      </x:c>
      <x:c r="W264" s="64" t="str"/>
      <x:c r="X264" s="62" t="n">
        <x:v>46271.05877361111</x:v>
      </x:c>
      <x:c r="Y264" s="58" t="str">
        <x:v>No es todavía una fuente digital; conservar como pista territorial.</x:v>
      </x:c>
    </x:row>
    <x:row r="265" ht="42" customHeight="1">
      <x:c r="A265" s="9" t="str">
        <x:v>CL-FUE-0264</x:v>
      </x:c>
      <x:c r="B265" s="7" t="str">
        <x:v>&amp; centroculturalelespacio@gmail.com</x:v>
      </x:c>
      <x:c r="C265" s="7" t="str">
        <x:v>&amp; centroculturalelespacio@gmail.com</x:v>
      </x:c>
      <x:c r="D265" s="7" t="str">
        <x:v>Espacio cultural del directorio oficial</x:v>
      </x:c>
      <x:c r="E265" s="7" t="str">
        <x:v>Comunal/local</x:v>
      </x:c>
      <x:c r="F265" s="7" t="str">
        <x:v>Región del Maule</x:v>
      </x:c>
      <x:c r="G265" s="7" t="str">
        <x:v>Talca</x:v>
      </x:c>
      <x:c r="H265" s="7" t="str">
        <x:v>Artes escénicas</x:v>
      </x:c>
      <x:c r="I265" s="7" t="str">
        <x:v>Canal digital por localizar</x:v>
      </x:c>
      <x:c r="J265" s="10" t="str"/>
      <x:c r="K265" s="10" t="str">
        <x:v>https://ciudadania.cultura.gob.cl/wp-content/uploads/2025/12/Directorio_Espacios-Culturales-2025_RC.pdf#page=166</x:v>
      </x:c>
      <x:c r="L265" s="7" t="str">
        <x:v>Referencia territorial</x:v>
      </x:c>
      <x:c r="M265" s="7" t="str">
        <x:v>No</x:v>
      </x:c>
      <x:c r="N265" s="7" t="str">
        <x:v>Baja</x:v>
      </x:c>
      <x:c r="O265" s="7" t="str">
        <x:v>Investigación manual</x:v>
      </x:c>
      <x:c r="P265" s="8" t="n">
        <x:v>46270.666666666664</x:v>
      </x:c>
      <x:c r="Q265" s="7" t="str">
        <x:v>Dirección OCR: 3 Oriente 7 y 8 Norte 1874, Talca. Ficha PDF p. 166.</x:v>
      </x:c>
      <x:c r="R265" s="58" t="str">
        <x:v>Referencia sin agenda</x:v>
      </x:c>
      <x:c r="S265" s="60" t="n">
        <x:v>0</x:v>
      </x:c>
      <x:c r="T265" s="58" t="str">
        <x:v>alta</x:v>
      </x:c>
      <x:c r="U265" s="60"/>
      <x:c r="V265" s="58" t="str">
        <x:v>Sin dato</x:v>
      </x:c>
      <x:c r="W265" s="64" t="str"/>
      <x:c r="X265" s="62" t="n">
        <x:v>46271.05877361111</x:v>
      </x:c>
      <x:c r="Y265" s="58" t="str">
        <x:v>No es todavía una fuente digital; conservar como pista territorial.</x:v>
      </x:c>
    </x:row>
    <x:row r="266" ht="42" customHeight="1">
      <x:c r="A266" s="9" t="str">
        <x:v>CL-FUE-0265</x:v>
      </x:c>
      <x:c r="B266" s="7" t="str">
        <x:v>|antropar</x:v>
      </x:c>
      <x:c r="C266" s="7" t="str">
        <x:v>|antropar</x:v>
      </x:c>
      <x:c r="D266" s="7" t="str">
        <x:v>Espacio cultural del directorio oficial</x:v>
      </x:c>
      <x:c r="E266" s="7" t="str">
        <x:v>Comunal/local</x:v>
      </x:c>
      <x:c r="F266" s="7" t="str">
        <x:v>Región del Maule</x:v>
      </x:c>
      <x:c r="G266" s="7" t="str">
        <x:v>Curicé</x:v>
      </x:c>
      <x:c r="H266" s="7" t="str">
        <x:v>Artes escénicas; Música</x:v>
      </x:c>
      <x:c r="I266" s="7" t="str">
        <x:v>Canal digital por localizar</x:v>
      </x:c>
      <x:c r="J266" s="10" t="str"/>
      <x:c r="K266" s="10" t="str">
        <x:v>https://ciudadania.cultura.gob.cl/wp-content/uploads/2025/12/Directorio_Espacios-Culturales-2025_RC.pdf#page=167</x:v>
      </x:c>
      <x:c r="L266" s="7" t="str">
        <x:v>Referencia territorial</x:v>
      </x:c>
      <x:c r="M266" s="7" t="str">
        <x:v>No</x:v>
      </x:c>
      <x:c r="N266" s="7" t="str">
        <x:v>Baja</x:v>
      </x:c>
      <x:c r="O266" s="7" t="str">
        <x:v>Investigación manual</x:v>
      </x:c>
      <x:c r="P266" s="8" t="n">
        <x:v>46270.666666666664</x:v>
      </x:c>
      <x:c r="Q266" s="7" t="str">
        <x:v>Dirección OCR: Calle Yungay 082, Curicé. Ficha PDF p. 167.</x:v>
      </x:c>
      <x:c r="R266" s="58" t="str">
        <x:v>Referencia sin agenda</x:v>
      </x:c>
      <x:c r="S266" s="60" t="n">
        <x:v>0</x:v>
      </x:c>
      <x:c r="T266" s="58" t="str">
        <x:v>alta</x:v>
      </x:c>
      <x:c r="U266" s="60"/>
      <x:c r="V266" s="58" t="str">
        <x:v>Sin dato</x:v>
      </x:c>
      <x:c r="W266" s="64" t="str"/>
      <x:c r="X266" s="62" t="n">
        <x:v>46271.05877361111</x:v>
      </x:c>
      <x:c r="Y266" s="58" t="str">
        <x:v>No es todavía una fuente digital; conservar como pista territorial.</x:v>
      </x:c>
    </x:row>
    <x:row r="267" ht="42" customHeight="1">
      <x:c r="A267" s="9" t="str">
        <x:v>CL-FUE-0266</x:v>
      </x:c>
      <x:c r="B267" s="7" t="str">
        <x:v>Teatro Municipal de Villa Alegre</x:v>
      </x:c>
      <x:c r="C267" s="7" t="str">
        <x:v>Teatro Municipal de Villa Alegre</x:v>
      </x:c>
      <x:c r="D267" s="7" t="str">
        <x:v>Espacio cultural del directorio oficial</x:v>
      </x:c>
      <x:c r="E267" s="7" t="str">
        <x:v>Comunal/local</x:v>
      </x:c>
      <x:c r="F267" s="7" t="str">
        <x:v>Región del Maule</x:v>
      </x:c>
      <x:c r="G267" s="7" t="str">
        <x:v>Villa Alegre</x:v>
      </x:c>
      <x:c r="H267" s="7" t="str">
        <x:v>Artes escénicas; Teatro</x:v>
      </x:c>
      <x:c r="I267" s="7" t="str">
        <x:v>Canal digital por localizar</x:v>
      </x:c>
      <x:c r="J267" s="10" t="str"/>
      <x:c r="K267" s="10" t="str">
        <x:v>https://ciudadania.cultura.gob.cl/wp-content/uploads/2025/12/Directorio_Espacios-Culturales-2025_RC.pdf#page=168</x:v>
      </x:c>
      <x:c r="L267" s="7" t="str">
        <x:v>Referencia territorial</x:v>
      </x:c>
      <x:c r="M267" s="7" t="str">
        <x:v>No</x:v>
      </x:c>
      <x:c r="N267" s="7" t="str">
        <x:v>Baja</x:v>
      </x:c>
      <x:c r="O267" s="7" t="str">
        <x:v>Investigación manual</x:v>
      </x:c>
      <x:c r="P267" s="8" t="n">
        <x:v>46270.666666666664</x:v>
      </x:c>
      <x:c r="Q267" s="7" t="str">
        <x:v>Dirección OCR: Avenida Espafia 196, Villa Alegre. Ficha PDF p. 168.</x:v>
      </x:c>
      <x:c r="R267" s="58" t="str">
        <x:v>Referencia sin agenda</x:v>
      </x:c>
      <x:c r="S267" s="60" t="n">
        <x:v>0</x:v>
      </x:c>
      <x:c r="T267" s="58" t="str">
        <x:v>alta</x:v>
      </x:c>
      <x:c r="U267" s="60"/>
      <x:c r="V267" s="58" t="str">
        <x:v>Sin dato</x:v>
      </x:c>
      <x:c r="W267" s="64" t="str"/>
      <x:c r="X267" s="62" t="n">
        <x:v>46271.05877361111</x:v>
      </x:c>
      <x:c r="Y267" s="58" t="str">
        <x:v>No es todavía una fuente digital; conservar como pista territorial.</x:v>
      </x:c>
    </x:row>
    <x:row r="268" ht="42" customHeight="1">
      <x:c r="A268" s="9" t="str">
        <x:v>CL-FUE-0267</x:v>
      </x:c>
      <x:c r="B268" s="7" t="str">
        <x:v>Espacio cultural (ficha 169)</x:v>
      </x:c>
      <x:c r="C268" s="7" t="str">
        <x:v>Espacio cultural (ficha 169)</x:v>
      </x:c>
      <x:c r="D268" s="7" t="str">
        <x:v>Espacio cultural del directorio oficial</x:v>
      </x:c>
      <x:c r="E268" s="7" t="str">
        <x:v>Comunal/local</x:v>
      </x:c>
      <x:c r="F268" s="7" t="str">
        <x:v>Región del Maule</x:v>
      </x:c>
      <x:c r="G268" s="7" t="str"/>
      <x:c r="H268" s="7" t="str">
        <x:v>Patrimonio</x:v>
      </x:c>
      <x:c r="I268" s="7" t="str">
        <x:v>Canal digital por localizar</x:v>
      </x:c>
      <x:c r="J268" s="10" t="str"/>
      <x:c r="K268" s="10" t="str">
        <x:v>https://ciudadania.cultura.gob.cl/wp-content/uploads/2025/12/Directorio_Espacios-Culturales-2025_RC.pdf#page=169</x:v>
      </x:c>
      <x:c r="L268" s="7" t="str">
        <x:v>Referencia territorial</x:v>
      </x:c>
      <x:c r="M268" s="7" t="str">
        <x:v>No</x:v>
      </x:c>
      <x:c r="N268" s="7" t="str">
        <x:v>Baja</x:v>
      </x:c>
      <x:c r="O268" s="7" t="str">
        <x:v>Investigación manual</x:v>
      </x:c>
      <x:c r="P268" s="8" t="n">
        <x:v>46270.666666666664</x:v>
      </x:c>
      <x:c r="Q268" s="7" t="str">
        <x:v>Dirección OCR: 2 Norte 2195. Ficha PDF p. 169.</x:v>
      </x:c>
      <x:c r="R268" s="58" t="str">
        <x:v>Referencia sin agenda</x:v>
      </x:c>
      <x:c r="S268" s="60" t="n">
        <x:v>0</x:v>
      </x:c>
      <x:c r="T268" s="58" t="str">
        <x:v>alta</x:v>
      </x:c>
      <x:c r="U268" s="60"/>
      <x:c r="V268" s="58" t="str">
        <x:v>Sin dato</x:v>
      </x:c>
      <x:c r="W268" s="64" t="str"/>
      <x:c r="X268" s="62" t="n">
        <x:v>46271.05877361111</x:v>
      </x:c>
      <x:c r="Y268" s="58" t="str">
        <x:v>No es todavía una fuente digital; conservar como pista territorial.</x:v>
      </x:c>
    </x:row>
    <x:row r="269" ht="42" customHeight="1">
      <x:c r="A269" s="9" t="str">
        <x:v>CL-FUE-0268</x:v>
      </x:c>
      <x:c r="B269" s="7" t="str">
        <x:v>Auditorio, Complejo Criollo</x:v>
      </x:c>
      <x:c r="C269" s="7" t="str">
        <x:v>Auditorio, Complejo Criollo</x:v>
      </x:c>
      <x:c r="D269" s="7" t="str">
        <x:v>Espacio cultural del directorio oficial</x:v>
      </x:c>
      <x:c r="E269" s="7" t="str">
        <x:v>Comunal/local</x:v>
      </x:c>
      <x:c r="F269" s="7" t="str">
        <x:v>Región del Maule</x:v>
      </x:c>
      <x:c r="G269" s="7" t="str">
        <x:v>Yerbas Buenas</x:v>
      </x:c>
      <x:c r="H269" s="7" t="str">
        <x:v>Multidisciplinario (por clasificar)</x:v>
      </x:c>
      <x:c r="I269" s="7" t="str">
        <x:v>Canal digital por localizar</x:v>
      </x:c>
      <x:c r="J269" s="10" t="str"/>
      <x:c r="K269" s="10" t="str">
        <x:v>https://ciudadania.cultura.gob.cl/wp-content/uploads/2025/12/Directorio_Espacios-Culturales-2025_RC.pdf#page=170</x:v>
      </x:c>
      <x:c r="L269" s="7" t="str">
        <x:v>Referencia territorial</x:v>
      </x:c>
      <x:c r="M269" s="7" t="str">
        <x:v>No</x:v>
      </x:c>
      <x:c r="N269" s="7" t="str">
        <x:v>Baja</x:v>
      </x:c>
      <x:c r="O269" s="7" t="str">
        <x:v>Investigación manual</x:v>
      </x:c>
      <x:c r="P269" s="8" t="n">
        <x:v>46270.666666666664</x:v>
      </x:c>
      <x:c r="Q269" s="7" t="str">
        <x:v>Dirección OCR: Av. Juan de Dios Puga 105, Yerbas Buenas. Ficha PDF p. 170.</x:v>
      </x:c>
      <x:c r="R269" s="58" t="str">
        <x:v>Referencia sin agenda</x:v>
      </x:c>
      <x:c r="S269" s="60" t="n">
        <x:v>0</x:v>
      </x:c>
      <x:c r="T269" s="58" t="str">
        <x:v>alta</x:v>
      </x:c>
      <x:c r="U269" s="60"/>
      <x:c r="V269" s="58" t="str">
        <x:v>Sin dato</x:v>
      </x:c>
      <x:c r="W269" s="64" t="str"/>
      <x:c r="X269" s="62" t="n">
        <x:v>46271.05877361111</x:v>
      </x:c>
      <x:c r="Y269" s="58" t="str">
        <x:v>No es todavía una fuente digital; conservar como pista territorial.</x:v>
      </x:c>
    </x:row>
    <x:row r="270" ht="42" customHeight="1">
      <x:c r="A270" s="9" t="str">
        <x:v>CL-FUE-0269</x:v>
      </x:c>
      <x:c r="B270" s="7" t="str">
        <x:v>Fundacién Cultural Cinecén</x:v>
      </x:c>
      <x:c r="C270" s="7" t="str">
        <x:v>Fundacién Cultural Cinecén</x:v>
      </x:c>
      <x:c r="D270" s="7" t="str">
        <x:v>Espacio cultural del directorio oficial</x:v>
      </x:c>
      <x:c r="E270" s="7" t="str">
        <x:v>Comunal/local</x:v>
      </x:c>
      <x:c r="F270" s="7" t="str">
        <x:v>Región del Maule</x:v>
      </x:c>
      <x:c r="G270" s="7" t="str">
        <x:v>Constitucién</x:v>
      </x:c>
      <x:c r="H270" s="7" t="str">
        <x:v>Multidisciplinario (por clasificar)</x:v>
      </x:c>
      <x:c r="I270" s="7" t="str">
        <x:v>Canal digital por localizar</x:v>
      </x:c>
      <x:c r="J270" s="10" t="str"/>
      <x:c r="K270" s="10" t="str">
        <x:v>https://ciudadania.cultura.gob.cl/wp-content/uploads/2025/12/Directorio_Espacios-Culturales-2025_RC.pdf#page=171</x:v>
      </x:c>
      <x:c r="L270" s="7" t="str">
        <x:v>Referencia territorial</x:v>
      </x:c>
      <x:c r="M270" s="7" t="str">
        <x:v>No</x:v>
      </x:c>
      <x:c r="N270" s="7" t="str">
        <x:v>Baja</x:v>
      </x:c>
      <x:c r="O270" s="7" t="str">
        <x:v>Investigación manual</x:v>
      </x:c>
      <x:c r="P270" s="8" t="n">
        <x:v>46270.666666666664</x:v>
      </x:c>
      <x:c r="Q270" s="7" t="str">
        <x:v>Dirección OCR: Calle Blanco 1213, Constitucién. Ficha PDF p. 171.</x:v>
      </x:c>
      <x:c r="R270" s="58" t="str">
        <x:v>Referencia sin agenda</x:v>
      </x:c>
      <x:c r="S270" s="60" t="n">
        <x:v>0</x:v>
      </x:c>
      <x:c r="T270" s="58" t="str">
        <x:v>alta</x:v>
      </x:c>
      <x:c r="U270" s="60"/>
      <x:c r="V270" s="58" t="str">
        <x:v>Sin dato</x:v>
      </x:c>
      <x:c r="W270" s="64" t="str"/>
      <x:c r="X270" s="62" t="n">
        <x:v>46271.05877361111</x:v>
      </x:c>
      <x:c r="Y270" s="58" t="str">
        <x:v>No es todavía una fuente digital; conservar como pista territorial.</x:v>
      </x:c>
    </x:row>
    <x:row r="271" ht="42" customHeight="1">
      <x:c r="A271" s="9" t="str">
        <x:v>CL-FUE-0270</x:v>
      </x:c>
      <x:c r="B271" s="7" t="str">
        <x:v>Corporaci6n Cultural I. Municipalidad de Curico</x:v>
      </x:c>
      <x:c r="C271" s="7" t="str">
        <x:v>Corporaci6n Cultural I. Municipalidad de Curico</x:v>
      </x:c>
      <x:c r="D271" s="7" t="str">
        <x:v>Espacio cultural del directorio oficial</x:v>
      </x:c>
      <x:c r="E271" s="7" t="str">
        <x:v>Comunal/local</x:v>
      </x:c>
      <x:c r="F271" s="7" t="str">
        <x:v>Región del Maule</x:v>
      </x:c>
      <x:c r="G271" s="7" t="str">
        <x:v>Curicé</x:v>
      </x:c>
      <x:c r="H271" s="7" t="str">
        <x:v>Multidisciplinario (por clasificar)</x:v>
      </x:c>
      <x:c r="I271" s="7" t="str">
        <x:v>Canal digital por localizar</x:v>
      </x:c>
      <x:c r="J271" s="10" t="str"/>
      <x:c r="K271" s="10" t="str">
        <x:v>https://ciudadania.cultura.gob.cl/wp-content/uploads/2025/12/Directorio_Espacios-Culturales-2025_RC.pdf#page=172</x:v>
      </x:c>
      <x:c r="L271" s="7" t="str">
        <x:v>Referencia territorial</x:v>
      </x:c>
      <x:c r="M271" s="7" t="str">
        <x:v>No</x:v>
      </x:c>
      <x:c r="N271" s="7" t="str">
        <x:v>Baja</x:v>
      </x:c>
      <x:c r="O271" s="7" t="str">
        <x:v>Investigación manual</x:v>
      </x:c>
      <x:c r="P271" s="8" t="n">
        <x:v>46270.666666666664</x:v>
      </x:c>
      <x:c r="Q271" s="7" t="str">
        <x:v>Dirección OCR: Carmen 560, Curicé. Ficha PDF p. 172.</x:v>
      </x:c>
      <x:c r="R271" s="58" t="str">
        <x:v>Referencia sin agenda</x:v>
      </x:c>
      <x:c r="S271" s="60" t="n">
        <x:v>0</x:v>
      </x:c>
      <x:c r="T271" s="58" t="str">
        <x:v>alta</x:v>
      </x:c>
      <x:c r="U271" s="60"/>
      <x:c r="V271" s="58" t="str">
        <x:v>Sin dato</x:v>
      </x:c>
      <x:c r="W271" s="64" t="str"/>
      <x:c r="X271" s="62" t="n">
        <x:v>46271.05877361111</x:v>
      </x:c>
      <x:c r="Y271" s="58" t="str">
        <x:v>No es todavía una fuente digital; conservar como pista territorial.</x:v>
      </x:c>
    </x:row>
    <x:row r="272" ht="42" customHeight="1">
      <x:c r="A272" s="9" t="str">
        <x:v>CL-FUE-0271</x:v>
      </x:c>
      <x:c r="B272" s="7" t="str">
        <x:v>Centro Cultural MOB</x:v>
      </x:c>
      <x:c r="C272" s="7" t="str">
        <x:v>Centro Cultural MOB</x:v>
      </x:c>
      <x:c r="D272" s="7" t="str">
        <x:v>Espacio cultural del directorio oficial</x:v>
      </x:c>
      <x:c r="E272" s="7" t="str">
        <x:v>Comunal/local</x:v>
      </x:c>
      <x:c r="F272" s="7" t="str">
        <x:v>Región del Maule</x:v>
      </x:c>
      <x:c r="G272" s="7" t="str">
        <x:v>San Javier</x:v>
      </x:c>
      <x:c r="H272" s="7" t="str">
        <x:v>Multidisciplinario (por clasificar)</x:v>
      </x:c>
      <x:c r="I272" s="7" t="str">
        <x:v>Canal digital por localizar</x:v>
      </x:c>
      <x:c r="J272" s="10" t="str"/>
      <x:c r="K272" s="10" t="str">
        <x:v>https://ciudadania.cultura.gob.cl/wp-content/uploads/2025/12/Directorio_Espacios-Culturales-2025_RC.pdf#page=173</x:v>
      </x:c>
      <x:c r="L272" s="7" t="str">
        <x:v>Referencia territorial</x:v>
      </x:c>
      <x:c r="M272" s="7" t="str">
        <x:v>No</x:v>
      </x:c>
      <x:c r="N272" s="7" t="str">
        <x:v>Baja</x:v>
      </x:c>
      <x:c r="O272" s="7" t="str">
        <x:v>Investigación manual</x:v>
      </x:c>
      <x:c r="P272" s="8" t="n">
        <x:v>46270.666666666664</x:v>
      </x:c>
      <x:c r="Q272" s="7" t="str">
        <x:v>Dirección OCR: Arturo Prat 2737, San Javier. Ficha PDF p. 173.</x:v>
      </x:c>
      <x:c r="R272" s="58" t="str">
        <x:v>Referencia sin agenda</x:v>
      </x:c>
      <x:c r="S272" s="60" t="n">
        <x:v>0</x:v>
      </x:c>
      <x:c r="T272" s="58" t="str">
        <x:v>alta</x:v>
      </x:c>
      <x:c r="U272" s="60"/>
      <x:c r="V272" s="58" t="str">
        <x:v>Sin dato</x:v>
      </x:c>
      <x:c r="W272" s="64" t="str"/>
      <x:c r="X272" s="62" t="n">
        <x:v>46271.05877361111</x:v>
      </x:c>
      <x:c r="Y272" s="58" t="str">
        <x:v>No es todavía una fuente digital; conservar como pista territorial.</x:v>
      </x:c>
    </x:row>
    <x:row r="273" ht="42" customHeight="1">
      <x:c r="A273" s="9" t="str">
        <x:v>CL-FUE-0272</x:v>
      </x:c>
      <x:c r="B273" s="7" t="str">
        <x:v>Parque Cultural Jeronimo Lagos Lisboa</x:v>
      </x:c>
      <x:c r="C273" s="7" t="str">
        <x:v>Parque Cultural Jeronimo Lagos Lisboa</x:v>
      </x:c>
      <x:c r="D273" s="7" t="str">
        <x:v>Espacio cultural del directorio oficial</x:v>
      </x:c>
      <x:c r="E273" s="7" t="str">
        <x:v>Comunal/local</x:v>
      </x:c>
      <x:c r="F273" s="7" t="str">
        <x:v>Región del Maule</x:v>
      </x:c>
      <x:c r="G273" s="7" t="str">
        <x:v>San Javier</x:v>
      </x:c>
      <x:c r="H273" s="7" t="str">
        <x:v>Multidisciplinario (por clasificar)</x:v>
      </x:c>
      <x:c r="I273" s="7" t="str">
        <x:v>Canal digital por localizar</x:v>
      </x:c>
      <x:c r="J273" s="10" t="str"/>
      <x:c r="K273" s="10" t="str">
        <x:v>https://ciudadania.cultura.gob.cl/wp-content/uploads/2025/12/Directorio_Espacios-Culturales-2025_RC.pdf#page=174</x:v>
      </x:c>
      <x:c r="L273" s="7" t="str">
        <x:v>Referencia territorial</x:v>
      </x:c>
      <x:c r="M273" s="7" t="str">
        <x:v>No</x:v>
      </x:c>
      <x:c r="N273" s="7" t="str">
        <x:v>Baja</x:v>
      </x:c>
      <x:c r="O273" s="7" t="str">
        <x:v>Investigación manual</x:v>
      </x:c>
      <x:c r="P273" s="8" t="n">
        <x:v>46270.666666666664</x:v>
      </x:c>
      <x:c r="Q273" s="7" t="str">
        <x:v>Dirección OCR: Avda. Balmaceda 930, San Javier. Ficha PDF p. 174.</x:v>
      </x:c>
      <x:c r="R273" s="58" t="str">
        <x:v>Referencia sin agenda</x:v>
      </x:c>
      <x:c r="S273" s="60" t="n">
        <x:v>0</x:v>
      </x:c>
      <x:c r="T273" s="58" t="str">
        <x:v>alta</x:v>
      </x:c>
      <x:c r="U273" s="60"/>
      <x:c r="V273" s="58" t="str">
        <x:v>Sin dato</x:v>
      </x:c>
      <x:c r="W273" s="64" t="str"/>
      <x:c r="X273" s="62" t="n">
        <x:v>46271.05877361111</x:v>
      </x:c>
      <x:c r="Y273" s="58" t="str">
        <x:v>No es todavía una fuente digital; conservar como pista territorial.</x:v>
      </x:c>
    </x:row>
    <x:row r="274" ht="42" customHeight="1">
      <x:c r="A274" s="9" t="str">
        <x:v>CL-FUE-0273</x:v>
      </x:c>
      <x:c r="B274" s="7" t="str">
        <x:v>Corporacién Espacio Rock</x:v>
      </x:c>
      <x:c r="C274" s="7" t="str">
        <x:v>Corporacién Espacio Rock</x:v>
      </x:c>
      <x:c r="D274" s="7" t="str">
        <x:v>Espacio cultural del directorio oficial</x:v>
      </x:c>
      <x:c r="E274" s="7" t="str">
        <x:v>Comunal/local</x:v>
      </x:c>
      <x:c r="F274" s="7" t="str">
        <x:v>Región del Maule</x:v>
      </x:c>
      <x:c r="G274" s="7" t="str"/>
      <x:c r="H274" s="7" t="str">
        <x:v>Música</x:v>
      </x:c>
      <x:c r="I274" s="7" t="str">
        <x:v>Canal digital por localizar</x:v>
      </x:c>
      <x:c r="J274" s="10" t="str"/>
      <x:c r="K274" s="10" t="str">
        <x:v>https://ciudadania.cultura.gob.cl/wp-content/uploads/2025/12/Directorio_Espacios-Culturales-2025_RC.pdf#page=175</x:v>
      </x:c>
      <x:c r="L274" s="7" t="str">
        <x:v>Referencia territorial</x:v>
      </x:c>
      <x:c r="M274" s="7" t="str">
        <x:v>No</x:v>
      </x:c>
      <x:c r="N274" s="7" t="str">
        <x:v>Baja</x:v>
      </x:c>
      <x:c r="O274" s="7" t="str">
        <x:v>Investigación manual</x:v>
      </x:c>
      <x:c r="P274" s="8" t="n">
        <x:v>46270.666666666664</x:v>
      </x:c>
      <x:c r="Q274" s="7" t="str">
        <x:v>Dirección OCR: 32 y media oriente c/ 12 norte 2175. Ficha PDF p. 175.</x:v>
      </x:c>
      <x:c r="R274" s="58" t="str">
        <x:v>Referencia sin agenda</x:v>
      </x:c>
      <x:c r="S274" s="60" t="n">
        <x:v>0</x:v>
      </x:c>
      <x:c r="T274" s="58" t="str">
        <x:v>alta</x:v>
      </x:c>
      <x:c r="U274" s="60"/>
      <x:c r="V274" s="58" t="str">
        <x:v>Sin dato</x:v>
      </x:c>
      <x:c r="W274" s="64" t="str"/>
      <x:c r="X274" s="62" t="n">
        <x:v>46271.05877361111</x:v>
      </x:c>
      <x:c r="Y274" s="58" t="str">
        <x:v>No es todavía una fuente digital; conservar como pista territorial.</x:v>
      </x:c>
    </x:row>
    <x:row r="275" ht="42" customHeight="1">
      <x:c r="A275" s="9" t="str">
        <x:v>CL-FUE-0274</x:v>
      </x:c>
      <x:c r="B275" s="7" t="str">
        <x:v>Espacio cultural (ficha 176)</x:v>
      </x:c>
      <x:c r="C275" s="7" t="str">
        <x:v>Espacio cultural (ficha 176)</x:v>
      </x:c>
      <x:c r="D275" s="7" t="str">
        <x:v>Espacio cultural del directorio oficial</x:v>
      </x:c>
      <x:c r="E275" s="7" t="str">
        <x:v>Comunal/local</x:v>
      </x:c>
      <x:c r="F275" s="7" t="str">
        <x:v>Región del Maule</x:v>
      </x:c>
      <x:c r="G275" s="7" t="str">
        <x:v>Chanco</x:v>
      </x:c>
      <x:c r="H275" s="7" t="str">
        <x:v>Multidisciplinario (por clasificar)</x:v>
      </x:c>
      <x:c r="I275" s="7" t="str">
        <x:v>Canal digital por localizar</x:v>
      </x:c>
      <x:c r="J275" s="10" t="str"/>
      <x:c r="K275" s="10" t="str">
        <x:v>https://ciudadania.cultura.gob.cl/wp-content/uploads/2025/12/Directorio_Espacios-Culturales-2025_RC.pdf#page=176</x:v>
      </x:c>
      <x:c r="L275" s="7" t="str">
        <x:v>Referencia territorial</x:v>
      </x:c>
      <x:c r="M275" s="7" t="str">
        <x:v>No</x:v>
      </x:c>
      <x:c r="N275" s="7" t="str">
        <x:v>Baja</x:v>
      </x:c>
      <x:c r="O275" s="7" t="str">
        <x:v>Investigación manual</x:v>
      </x:c>
      <x:c r="P275" s="8" t="n">
        <x:v>46270.666666666664</x:v>
      </x:c>
      <x:c r="Q275" s="7" t="str">
        <x:v>Dirección OCR: ‘Abdén Fuentealba 334,Chanco. Ficha PDF p. 176.</x:v>
      </x:c>
      <x:c r="R275" s="58" t="str">
        <x:v>Referencia sin agenda</x:v>
      </x:c>
      <x:c r="S275" s="60" t="n">
        <x:v>0</x:v>
      </x:c>
      <x:c r="T275" s="58" t="str">
        <x:v>alta</x:v>
      </x:c>
      <x:c r="U275" s="60"/>
      <x:c r="V275" s="58" t="str">
        <x:v>Sin dato</x:v>
      </x:c>
      <x:c r="W275" s="64" t="str"/>
      <x:c r="X275" s="62" t="n">
        <x:v>46271.05877361111</x:v>
      </x:c>
      <x:c r="Y275" s="58" t="str">
        <x:v>No es todavía una fuente digital; conservar como pista territorial.</x:v>
      </x:c>
    </x:row>
    <x:row r="276" ht="42" customHeight="1">
      <x:c r="A276" s="9" t="str">
        <x:v>CL-FUE-0275</x:v>
      </x:c>
      <x:c r="B276" s="7" t="str">
        <x:v>Teatro Maria Inés Pérez</x:v>
      </x:c>
      <x:c r="C276" s="7" t="str">
        <x:v>Teatro Maria Inés Pérez</x:v>
      </x:c>
      <x:c r="D276" s="7" t="str">
        <x:v>Espacio cultural del directorio oficial</x:v>
      </x:c>
      <x:c r="E276" s="7" t="str">
        <x:v>Comunal/local</x:v>
      </x:c>
      <x:c r="F276" s="7" t="str">
        <x:v>Región del Maule</x:v>
      </x:c>
      <x:c r="G276" s="7" t="str">
        <x:v>Empedrado</x:v>
      </x:c>
      <x:c r="H276" s="7" t="str">
        <x:v>Teatro</x:v>
      </x:c>
      <x:c r="I276" s="7" t="str">
        <x:v>Canal digital por localizar</x:v>
      </x:c>
      <x:c r="J276" s="10" t="str"/>
      <x:c r="K276" s="10" t="str">
        <x:v>https://ciudadania.cultura.gob.cl/wp-content/uploads/2025/12/Directorio_Espacios-Culturales-2025_RC.pdf#page=177</x:v>
      </x:c>
      <x:c r="L276" s="7" t="str">
        <x:v>Referencia territorial</x:v>
      </x:c>
      <x:c r="M276" s="7" t="str">
        <x:v>No</x:v>
      </x:c>
      <x:c r="N276" s="7" t="str">
        <x:v>Baja</x:v>
      </x:c>
      <x:c r="O276" s="7" t="str">
        <x:v>Investigación manual</x:v>
      </x:c>
      <x:c r="P276" s="8" t="n">
        <x:v>46270.666666666664</x:v>
      </x:c>
      <x:c r="Q276" s="7" t="str">
        <x:v>Dirección OCR: Bernardo O'Higgins 422, Empedrado. Ficha PDF p. 177.</x:v>
      </x:c>
      <x:c r="R276" s="58" t="str">
        <x:v>Referencia sin agenda</x:v>
      </x:c>
      <x:c r="S276" s="60" t="n">
        <x:v>0</x:v>
      </x:c>
      <x:c r="T276" s="58" t="str">
        <x:v>alta</x:v>
      </x:c>
      <x:c r="U276" s="60"/>
      <x:c r="V276" s="58" t="str">
        <x:v>Sin dato</x:v>
      </x:c>
      <x:c r="W276" s="64" t="str"/>
      <x:c r="X276" s="62" t="n">
        <x:v>46271.05877361111</x:v>
      </x:c>
      <x:c r="Y276" s="58" t="str">
        <x:v>No es todavía una fuente digital; conservar como pista territorial.</x:v>
      </x:c>
    </x:row>
    <x:row r="277" ht="42" customHeight="1">
      <x:c r="A277" s="9" t="str">
        <x:v>CL-FUE-0276</x:v>
      </x:c>
      <x:c r="B277" s="7" t="str">
        <x:v>Espacio cultural (ficha 178)</x:v>
      </x:c>
      <x:c r="C277" s="7" t="str">
        <x:v>Espacio cultural (ficha 178)</x:v>
      </x:c>
      <x:c r="D277" s="7" t="str">
        <x:v>Espacio cultural del directorio oficial</x:v>
      </x:c>
      <x:c r="E277" s="7" t="str">
        <x:v>Comunal/local</x:v>
      </x:c>
      <x:c r="F277" s="7" t="str">
        <x:v>Región del Maule</x:v>
      </x:c>
      <x:c r="G277" s="7" t="str">
        <x:v>Curicé</x:v>
      </x:c>
      <x:c r="H277" s="7" t="str">
        <x:v>Teatro</x:v>
      </x:c>
      <x:c r="I277" s="7" t="str">
        <x:v>Canal digital por localizar</x:v>
      </x:c>
      <x:c r="J277" s="10" t="str"/>
      <x:c r="K277" s="10" t="str">
        <x:v>https://ciudadania.cultura.gob.cl/wp-content/uploads/2025/12/Directorio_Espacios-Culturales-2025_RC.pdf#page=178</x:v>
      </x:c>
      <x:c r="L277" s="7" t="str">
        <x:v>Referencia territorial</x:v>
      </x:c>
      <x:c r="M277" s="7" t="str">
        <x:v>No</x:v>
      </x:c>
      <x:c r="N277" s="7" t="str">
        <x:v>Baja</x:v>
      </x:c>
      <x:c r="O277" s="7" t="str">
        <x:v>Investigación manual</x:v>
      </x:c>
      <x:c r="P277" s="8" t="n">
        <x:v>46270.666666666664</x:v>
      </x:c>
      <x:c r="Q277" s="7" t="str">
        <x:v>Dirección OCR: Carmen 560, Curicé. Ficha PDF p. 178. Posible ficha duplicada o recinto compartido; revisar antes de crear una fuente independiente.</x:v>
      </x:c>
      <x:c r="R277" s="58" t="str">
        <x:v>Referencia sin agenda</x:v>
      </x:c>
      <x:c r="S277" s="60" t="n">
        <x:v>0</x:v>
      </x:c>
      <x:c r="T277" s="58" t="str">
        <x:v>alta</x:v>
      </x:c>
      <x:c r="U277" s="60"/>
      <x:c r="V277" s="58" t="str">
        <x:v>Sin dato</x:v>
      </x:c>
      <x:c r="W277" s="64" t="str"/>
      <x:c r="X277" s="62" t="n">
        <x:v>46271.05877361111</x:v>
      </x:c>
      <x:c r="Y277" s="58" t="str">
        <x:v>No es todavía una fuente digital; conservar como pista territorial.</x:v>
      </x:c>
    </x:row>
    <x:row r="278" ht="42" customHeight="1">
      <x:c r="A278" s="9" t="str">
        <x:v>CL-FUE-0277</x:v>
      </x:c>
      <x:c r="B278" s="7" t="str">
        <x:v>Espacio cultural (ficha 179)</x:v>
      </x:c>
      <x:c r="C278" s="7" t="str">
        <x:v>Espacio cultural (ficha 179)</x:v>
      </x:c>
      <x:c r="D278" s="7" t="str">
        <x:v>Espacio cultural del directorio oficial</x:v>
      </x:c>
      <x:c r="E278" s="7" t="str">
        <x:v>Comunal/local</x:v>
      </x:c>
      <x:c r="F278" s="7" t="str">
        <x:v>Región del Maule</x:v>
      </x:c>
      <x:c r="G278" s="7" t="str">
        <x:v>Talca</x:v>
      </x:c>
      <x:c r="H278" s="7" t="str">
        <x:v>Multidisciplinario (por clasificar)</x:v>
      </x:c>
      <x:c r="I278" s="7" t="str">
        <x:v>Canal digital por localizar</x:v>
      </x:c>
      <x:c r="J278" s="10" t="str"/>
      <x:c r="K278" s="10" t="str">
        <x:v>https://ciudadania.cultura.gob.cl/wp-content/uploads/2025/12/Directorio_Espacios-Culturales-2025_RC.pdf#page=179</x:v>
      </x:c>
      <x:c r="L278" s="7" t="str">
        <x:v>Referencia territorial</x:v>
      </x:c>
      <x:c r="M278" s="7" t="str">
        <x:v>No</x:v>
      </x:c>
      <x:c r="N278" s="7" t="str">
        <x:v>Baja</x:v>
      </x:c>
      <x:c r="O278" s="7" t="str">
        <x:v>Investigación manual</x:v>
      </x:c>
      <x:c r="P278" s="8" t="n">
        <x:v>46270.666666666664</x:v>
      </x:c>
      <x:c r="Q278" s="7" t="str">
        <x:v>Dirección OCR: Cuatro Sur 705, Talca. Ficha PDF p. 179.</x:v>
      </x:c>
      <x:c r="R278" s="58" t="str">
        <x:v>Referencia sin agenda</x:v>
      </x:c>
      <x:c r="S278" s="60" t="n">
        <x:v>0</x:v>
      </x:c>
      <x:c r="T278" s="58" t="str">
        <x:v>alta</x:v>
      </x:c>
      <x:c r="U278" s="60"/>
      <x:c r="V278" s="58" t="str">
        <x:v>Sin dato</x:v>
      </x:c>
      <x:c r="W278" s="64" t="str"/>
      <x:c r="X278" s="62" t="n">
        <x:v>46271.05877361111</x:v>
      </x:c>
      <x:c r="Y278" s="58" t="str">
        <x:v>No es todavía una fuente digital; conservar como pista territorial.</x:v>
      </x:c>
    </x:row>
    <x:row r="279" ht="42" customHeight="1">
      <x:c r="A279" s="9" t="str">
        <x:v>CL-FUE-0278</x:v>
      </x:c>
      <x:c r="B279" s="7" t="str">
        <x:v>Teatro Municipal de Sagrada Familia</x:v>
      </x:c>
      <x:c r="C279" s="7" t="str">
        <x:v>Teatro Municipal de Sagrada Familia</x:v>
      </x:c>
      <x:c r="D279" s="7" t="str">
        <x:v>Espacio cultural del directorio oficial</x:v>
      </x:c>
      <x:c r="E279" s="7" t="str">
        <x:v>Comunal/local</x:v>
      </x:c>
      <x:c r="F279" s="7" t="str">
        <x:v>Región del Maule</x:v>
      </x:c>
      <x:c r="G279" s="7" t="str">
        <x:v>Sagrada Familia</x:v>
      </x:c>
      <x:c r="H279" s="7" t="str">
        <x:v>Teatro</x:v>
      </x:c>
      <x:c r="I279" s="7" t="str">
        <x:v>Canal digital por localizar</x:v>
      </x:c>
      <x:c r="J279" s="10" t="str"/>
      <x:c r="K279" s="10" t="str">
        <x:v>https://ciudadania.cultura.gob.cl/wp-content/uploads/2025/12/Directorio_Espacios-Culturales-2025_RC.pdf#page=180</x:v>
      </x:c>
      <x:c r="L279" s="7" t="str">
        <x:v>Referencia territorial</x:v>
      </x:c>
      <x:c r="M279" s="7" t="str">
        <x:v>No</x:v>
      </x:c>
      <x:c r="N279" s="7" t="str">
        <x:v>Baja</x:v>
      </x:c>
      <x:c r="O279" s="7" t="str">
        <x:v>Investigación manual</x:v>
      </x:c>
      <x:c r="P279" s="8" t="n">
        <x:v>46270.666666666664</x:v>
      </x:c>
      <x:c r="Q279" s="7" t="str">
        <x:v>Dirección OCR: San Francisco 40, Sagrada Familia. Ficha PDF p. 180.</x:v>
      </x:c>
      <x:c r="R279" s="58" t="str">
        <x:v>Referencia sin agenda</x:v>
      </x:c>
      <x:c r="S279" s="60" t="n">
        <x:v>0</x:v>
      </x:c>
      <x:c r="T279" s="58" t="str">
        <x:v>alta</x:v>
      </x:c>
      <x:c r="U279" s="60"/>
      <x:c r="V279" s="58" t="str">
        <x:v>Sin dato</x:v>
      </x:c>
      <x:c r="W279" s="64" t="str"/>
      <x:c r="X279" s="62" t="n">
        <x:v>46271.05877361111</x:v>
      </x:c>
      <x:c r="Y279" s="58" t="str">
        <x:v>No es todavía una fuente digital; conservar como pista territorial.</x:v>
      </x:c>
    </x:row>
    <x:row r="280" ht="42" customHeight="1">
      <x:c r="A280" s="9" t="str">
        <x:v>CL-FUE-0279</x:v>
      </x:c>
      <x:c r="B280" s="7" t="str">
        <x:v>Corporacion Cultural y de Turismo de Pelarco</x:v>
      </x:c>
      <x:c r="C280" s="7" t="str">
        <x:v>Corporacion Cultural y de Turismo de Pelarco</x:v>
      </x:c>
      <x:c r="D280" s="7" t="str">
        <x:v>Espacio cultural del directorio oficial</x:v>
      </x:c>
      <x:c r="E280" s="7" t="str">
        <x:v>Comunal/local</x:v>
      </x:c>
      <x:c r="F280" s="7" t="str">
        <x:v>Región del Maule</x:v>
      </x:c>
      <x:c r="G280" s="7" t="str">
        <x:v>Pelarco</x:v>
      </x:c>
      <x:c r="H280" s="7" t="str">
        <x:v>Multidisciplinario (por clasificar)</x:v>
      </x:c>
      <x:c r="I280" s="7" t="str">
        <x:v>Canal digital por localizar</x:v>
      </x:c>
      <x:c r="J280" s="10" t="str"/>
      <x:c r="K280" s="10" t="str">
        <x:v>https://ciudadania.cultura.gob.cl/wp-content/uploads/2025/12/Directorio_Espacios-Culturales-2025_RC.pdf#page=181</x:v>
      </x:c>
      <x:c r="L280" s="7" t="str">
        <x:v>Referencia territorial</x:v>
      </x:c>
      <x:c r="M280" s="7" t="str">
        <x:v>No</x:v>
      </x:c>
      <x:c r="N280" s="7" t="str">
        <x:v>Baja</x:v>
      </x:c>
      <x:c r="O280" s="7" t="str">
        <x:v>Investigación manual</x:v>
      </x:c>
      <x:c r="P280" s="8" t="n">
        <x:v>46270.666666666664</x:v>
      </x:c>
      <x:c r="Q280" s="7" t="str">
        <x:v>Dirección OCR: Calle San Pedro s/n, Pelarco. Ficha PDF p. 181.</x:v>
      </x:c>
      <x:c r="R280" s="58" t="str">
        <x:v>Referencia sin agenda</x:v>
      </x:c>
      <x:c r="S280" s="60" t="n">
        <x:v>0</x:v>
      </x:c>
      <x:c r="T280" s="58" t="str">
        <x:v>alta</x:v>
      </x:c>
      <x:c r="U280" s="60"/>
      <x:c r="V280" s="58" t="str">
        <x:v>Sin dato</x:v>
      </x:c>
      <x:c r="W280" s="64" t="str"/>
      <x:c r="X280" s="62" t="n">
        <x:v>46271.05877361111</x:v>
      </x:c>
      <x:c r="Y280" s="58" t="str">
        <x:v>No es todavía una fuente digital; conservar como pista territorial.</x:v>
      </x:c>
    </x:row>
    <x:row r="281" ht="42" customHeight="1">
      <x:c r="A281" s="9" t="str">
        <x:v>CL-FUE-0280</x:v>
      </x:c>
      <x:c r="B281" s="7" t="str">
        <x:v>Espacio cultural (ficha 182)</x:v>
      </x:c>
      <x:c r="C281" s="7" t="str">
        <x:v>Espacio cultural (ficha 182)</x:v>
      </x:c>
      <x:c r="D281" s="7" t="str">
        <x:v>Espacio cultural del directorio oficial</x:v>
      </x:c>
      <x:c r="E281" s="7" t="str">
        <x:v>Comunal/local</x:v>
      </x:c>
      <x:c r="F281" s="7" t="str">
        <x:v>Región del Maule</x:v>
      </x:c>
      <x:c r="G281" s="7" t="str">
        <x:v>Empedrado</x:v>
      </x:c>
      <x:c r="H281" s="7" t="str">
        <x:v>Multidisciplinario (por clasificar)</x:v>
      </x:c>
      <x:c r="I281" s="7" t="str">
        <x:v>Canal digital por localizar</x:v>
      </x:c>
      <x:c r="J281" s="10" t="str"/>
      <x:c r="K281" s="10" t="str">
        <x:v>https://ciudadania.cultura.gob.cl/wp-content/uploads/2025/12/Directorio_Espacios-Culturales-2025_RC.pdf#page=182</x:v>
      </x:c>
      <x:c r="L281" s="7" t="str">
        <x:v>Referencia territorial</x:v>
      </x:c>
      <x:c r="M281" s="7" t="str">
        <x:v>No</x:v>
      </x:c>
      <x:c r="N281" s="7" t="str">
        <x:v>Baja</x:v>
      </x:c>
      <x:c r="O281" s="7" t="str">
        <x:v>Investigación manual</x:v>
      </x:c>
      <x:c r="P281" s="8" t="n">
        <x:v>46270.666666666664</x:v>
      </x:c>
      <x:c r="Q281" s="7" t="str">
        <x:v>Dirección OCR: Bernardo O'Higgins 422, Empedrado. Ficha PDF p. 182. Posible ficha duplicada o recinto compartido; revisar antes de crear una fuente independiente.</x:v>
      </x:c>
      <x:c r="R281" s="58" t="str">
        <x:v>Referencia sin agenda</x:v>
      </x:c>
      <x:c r="S281" s="60" t="n">
        <x:v>0</x:v>
      </x:c>
      <x:c r="T281" s="58" t="str">
        <x:v>alta</x:v>
      </x:c>
      <x:c r="U281" s="60"/>
      <x:c r="V281" s="58" t="str">
        <x:v>Sin dato</x:v>
      </x:c>
      <x:c r="W281" s="64" t="str"/>
      <x:c r="X281" s="62" t="n">
        <x:v>46271.05877361111</x:v>
      </x:c>
      <x:c r="Y281" s="58" t="str">
        <x:v>No es todavía una fuente digital; conservar como pista territorial.</x:v>
      </x:c>
    </x:row>
    <x:row r="282" ht="42" customHeight="1">
      <x:c r="A282" s="9" t="str">
        <x:v>CL-FUE-0281</x:v>
      </x:c>
      <x:c r="B282" s="7" t="str">
        <x:v>Espacio cultural (ficha 183)</x:v>
      </x:c>
      <x:c r="C282" s="7" t="str">
        <x:v>Espacio cultural (ficha 183)</x:v>
      </x:c>
      <x:c r="D282" s="7" t="str">
        <x:v>Espacio cultural del directorio oficial</x:v>
      </x:c>
      <x:c r="E282" s="7" t="str">
        <x:v>Comunal/local</x:v>
      </x:c>
      <x:c r="F282" s="7" t="str">
        <x:v>Región del Maule</x:v>
      </x:c>
      <x:c r="G282" s="7" t="str">
        <x:v>Parral</x:v>
      </x:c>
      <x:c r="H282" s="7" t="str">
        <x:v>Artes escénicas; Danza; Patrimonio; Teatro</x:v>
      </x:c>
      <x:c r="I282" s="7" t="str">
        <x:v>Canal digital por localizar</x:v>
      </x:c>
      <x:c r="J282" s="10" t="str"/>
      <x:c r="K282" s="10" t="str">
        <x:v>https://ciudadania.cultura.gob.cl/wp-content/uploads/2025/12/Directorio_Espacios-Culturales-2025_RC.pdf#page=183</x:v>
      </x:c>
      <x:c r="L282" s="7" t="str">
        <x:v>Referencia territorial</x:v>
      </x:c>
      <x:c r="M282" s="7" t="str">
        <x:v>No</x:v>
      </x:c>
      <x:c r="N282" s="7" t="str">
        <x:v>Baja</x:v>
      </x:c>
      <x:c r="O282" s="7" t="str">
        <x:v>Investigación manual</x:v>
      </x:c>
      <x:c r="P282" s="8" t="n">
        <x:v>46270.666666666664</x:v>
      </x:c>
      <x:c r="Q282" s="7" t="str">
        <x:v>Dirección OCR: Calle Urrutia 317, Parral. Ficha PDF p. 183.</x:v>
      </x:c>
      <x:c r="R282" s="58" t="str">
        <x:v>Referencia sin agenda</x:v>
      </x:c>
      <x:c r="S282" s="60" t="n">
        <x:v>0</x:v>
      </x:c>
      <x:c r="T282" s="58" t="str">
        <x:v>alta</x:v>
      </x:c>
      <x:c r="U282" s="60"/>
      <x:c r="V282" s="58" t="str">
        <x:v>Sin dato</x:v>
      </x:c>
      <x:c r="W282" s="64" t="str"/>
      <x:c r="X282" s="62" t="n">
        <x:v>46271.05877361111</x:v>
      </x:c>
      <x:c r="Y282" s="58" t="str">
        <x:v>No es todavía una fuente digital; conservar como pista territorial.</x:v>
      </x:c>
    </x:row>
    <x:row r="283" ht="42" customHeight="1">
      <x:c r="A283" s="9" t="str">
        <x:v>CL-FUE-0282</x:v>
      </x:c>
      <x:c r="B283" s="7" t="str">
        <x:v>Corporacién Municipal de Cultura de Romeral</x:v>
      </x:c>
      <x:c r="C283" s="7" t="str">
        <x:v>Corporacién Municipal de Cultura de Romeral</x:v>
      </x:c>
      <x:c r="D283" s="7" t="str">
        <x:v>Espacio cultural del directorio oficial</x:v>
      </x:c>
      <x:c r="E283" s="7" t="str">
        <x:v>Comunal/local</x:v>
      </x:c>
      <x:c r="F283" s="7" t="str">
        <x:v>Región del Maule</x:v>
      </x:c>
      <x:c r="G283" s="7" t="str">
        <x:v>Romeral</x:v>
      </x:c>
      <x:c r="H283" s="7" t="str">
        <x:v>Patrimonio</x:v>
      </x:c>
      <x:c r="I283" s="7" t="str">
        <x:v>Canal digital por localizar</x:v>
      </x:c>
      <x:c r="J283" s="10" t="str"/>
      <x:c r="K283" s="10" t="str">
        <x:v>https://ciudadania.cultura.gob.cl/wp-content/uploads/2025/12/Directorio_Espacios-Culturales-2025_RC.pdf#page=184</x:v>
      </x:c>
      <x:c r="L283" s="7" t="str">
        <x:v>Referencia territorial</x:v>
      </x:c>
      <x:c r="M283" s="7" t="str">
        <x:v>No</x:v>
      </x:c>
      <x:c r="N283" s="7" t="str">
        <x:v>Baja</x:v>
      </x:c>
      <x:c r="O283" s="7" t="str">
        <x:v>Investigación manual</x:v>
      </x:c>
      <x:c r="P283" s="8" t="n">
        <x:v>46270.666666666664</x:v>
      </x:c>
      <x:c r="Q283" s="7" t="str">
        <x:v>Dirección OCR: Oscar Bonilla 64, Romeral. Ficha PDF p. 184.</x:v>
      </x:c>
      <x:c r="R283" s="58" t="str">
        <x:v>Referencia sin agenda</x:v>
      </x:c>
      <x:c r="S283" s="60" t="n">
        <x:v>0</x:v>
      </x:c>
      <x:c r="T283" s="58" t="str">
        <x:v>alta</x:v>
      </x:c>
      <x:c r="U283" s="60"/>
      <x:c r="V283" s="58" t="str">
        <x:v>Sin dato</x:v>
      </x:c>
      <x:c r="W283" s="64" t="str"/>
      <x:c r="X283" s="62" t="n">
        <x:v>46271.05877361111</x:v>
      </x:c>
      <x:c r="Y283" s="58" t="str">
        <x:v>No es todavía una fuente digital; conservar como pista territorial.</x:v>
      </x:c>
    </x:row>
    <x:row r="284" ht="42" customHeight="1">
      <x:c r="A284" s="9" t="str">
        <x:v>CL-FUE-0283</x:v>
      </x:c>
      <x:c r="B284" s="7" t="str">
        <x:v>Espacio cultural (ficha 185)</x:v>
      </x:c>
      <x:c r="C284" s="7" t="str">
        <x:v>Espacio cultural (ficha 185)</x:v>
      </x:c>
      <x:c r="D284" s="7" t="str">
        <x:v>Espacio cultural del directorio oficial</x:v>
      </x:c>
      <x:c r="E284" s="7" t="str">
        <x:v>Comunal/local</x:v>
      </x:c>
      <x:c r="F284" s="7" t="str">
        <x:v>Región del Maule</x:v>
      </x:c>
      <x:c r="G284" s="7" t="str"/>
      <x:c r="H284" s="7" t="str">
        <x:v>Artes escénicas; Literatura</x:v>
      </x:c>
      <x:c r="I284" s="7" t="str">
        <x:v>Canal digital por localizar</x:v>
      </x:c>
      <x:c r="J284" s="10" t="str"/>
      <x:c r="K284" s="10" t="str">
        <x:v>https://ciudadania.cultura.gob.cl/wp-content/uploads/2025/12/Directorio_Espacios-Culturales-2025_RC.pdf#page=185</x:v>
      </x:c>
      <x:c r="L284" s="7" t="str">
        <x:v>Referencia territorial</x:v>
      </x:c>
      <x:c r="M284" s="7" t="str">
        <x:v>No</x:v>
      </x:c>
      <x:c r="N284" s="7" t="str">
        <x:v>Baja</x:v>
      </x:c>
      <x:c r="O284" s="7" t="str">
        <x:v>Investigación manual</x:v>
      </x:c>
      <x:c r="P284" s="8" t="n">
        <x:v>46270.666666666664</x:v>
      </x:c>
      <x:c r="Q284" s="7" t="str">
        <x:v>Dirección OCR: Avenida Balmaceda 350. Ficha PDF p. 185.</x:v>
      </x:c>
      <x:c r="R284" s="58" t="str">
        <x:v>Referencia sin agenda</x:v>
      </x:c>
      <x:c r="S284" s="60" t="n">
        <x:v>0</x:v>
      </x:c>
      <x:c r="T284" s="58" t="str">
        <x:v>alta</x:v>
      </x:c>
      <x:c r="U284" s="60"/>
      <x:c r="V284" s="58" t="str">
        <x:v>Sin dato</x:v>
      </x:c>
      <x:c r="W284" s="64" t="str"/>
      <x:c r="X284" s="62" t="n">
        <x:v>46271.05877361111</x:v>
      </x:c>
      <x:c r="Y284" s="58" t="str">
        <x:v>No es todavía una fuente digital; conservar como pista territorial.</x:v>
      </x:c>
    </x:row>
    <x:row r="285" ht="42" customHeight="1">
      <x:c r="A285" s="9" t="str">
        <x:v>CL-FUE-0284</x:v>
      </x:c>
      <x:c r="B285" s="7" t="str">
        <x:v>Teatro Municipal de Linares</x:v>
      </x:c>
      <x:c r="C285" s="7" t="str">
        <x:v>Teatro Municipal de Linares</x:v>
      </x:c>
      <x:c r="D285" s="7" t="str">
        <x:v>Espacio cultural del directorio oficial</x:v>
      </x:c>
      <x:c r="E285" s="7" t="str">
        <x:v>Comunal/local</x:v>
      </x:c>
      <x:c r="F285" s="7" t="str">
        <x:v>Región del Maule</x:v>
      </x:c>
      <x:c r="G285" s="7" t="str">
        <x:v>Linares</x:v>
      </x:c>
      <x:c r="H285" s="7" t="str">
        <x:v>Teatro</x:v>
      </x:c>
      <x:c r="I285" s="7" t="str">
        <x:v>Canal digital por localizar</x:v>
      </x:c>
      <x:c r="J285" s="10" t="str"/>
      <x:c r="K285" s="10" t="str">
        <x:v>https://ciudadania.cultura.gob.cl/wp-content/uploads/2025/12/Directorio_Espacios-Culturales-2025_RC.pdf#page=186</x:v>
      </x:c>
      <x:c r="L285" s="7" t="str">
        <x:v>Referencia territorial</x:v>
      </x:c>
      <x:c r="M285" s="7" t="str">
        <x:v>No</x:v>
      </x:c>
      <x:c r="N285" s="7" t="str">
        <x:v>Baja</x:v>
      </x:c>
      <x:c r="O285" s="7" t="str">
        <x:v>Investigación manual</x:v>
      </x:c>
      <x:c r="P285" s="8" t="n">
        <x:v>46270.666666666664</x:v>
      </x:c>
      <x:c r="Q285" s="7" t="str">
        <x:v>Dirección OCR: Independencia 520, Linares. Ficha PDF p. 186.</x:v>
      </x:c>
      <x:c r="R285" s="58" t="str">
        <x:v>Referencia sin agenda</x:v>
      </x:c>
      <x:c r="S285" s="60" t="n">
        <x:v>0</x:v>
      </x:c>
      <x:c r="T285" s="58" t="str">
        <x:v>alta</x:v>
      </x:c>
      <x:c r="U285" s="60"/>
      <x:c r="V285" s="58" t="str">
        <x:v>Sin dato</x:v>
      </x:c>
      <x:c r="W285" s="64" t="str"/>
      <x:c r="X285" s="62" t="n">
        <x:v>46271.05877361111</x:v>
      </x:c>
      <x:c r="Y285" s="58" t="str">
        <x:v>No es todavía una fuente digital; conservar como pista territorial.</x:v>
      </x:c>
    </x:row>
    <x:row r="286" ht="42" customHeight="1">
      <x:c r="A286" s="9" t="str">
        <x:v>CL-FUE-0285</x:v>
      </x:c>
      <x:c r="B286" s="7" t="str">
        <x:v>Galpon Al Margen</x:v>
      </x:c>
      <x:c r="C286" s="7" t="str">
        <x:v>Galpon Al Margen</x:v>
      </x:c>
      <x:c r="D286" s="7" t="str">
        <x:v>Espacio cultural del directorio oficial</x:v>
      </x:c>
      <x:c r="E286" s="7" t="str">
        <x:v>Comunal/local</x:v>
      </x:c>
      <x:c r="F286" s="7" t="str">
        <x:v>Región del Maule</x:v>
      </x:c>
      <x:c r="G286" s="7" t="str">
        <x:v>Talca</x:v>
      </x:c>
      <x:c r="H286" s="7" t="str">
        <x:v>Multidisciplinario (por clasificar)</x:v>
      </x:c>
      <x:c r="I286" s="7" t="str">
        <x:v>Canal digital por localizar</x:v>
      </x:c>
      <x:c r="J286" s="10" t="str"/>
      <x:c r="K286" s="10" t="str">
        <x:v>https://ciudadania.cultura.gob.cl/wp-content/uploads/2025/12/Directorio_Espacios-Culturales-2025_RC.pdf#page=187</x:v>
      </x:c>
      <x:c r="L286" s="7" t="str">
        <x:v>Referencia territorial</x:v>
      </x:c>
      <x:c r="M286" s="7" t="str">
        <x:v>No</x:v>
      </x:c>
      <x:c r="N286" s="7" t="str">
        <x:v>Baja</x:v>
      </x:c>
      <x:c r="O286" s="7" t="str">
        <x:v>Investigación manual</x:v>
      </x:c>
      <x:c r="P286" s="8" t="n">
        <x:v>46270.666666666664</x:v>
      </x:c>
      <x:c r="Q286" s="7" t="str">
        <x:v>Dirección OCR: Calle 12 Sur 115, Villa Los Nogales 3, Talca. Ficha PDF p. 187.</x:v>
      </x:c>
      <x:c r="R286" s="58" t="str">
        <x:v>Referencia sin agenda</x:v>
      </x:c>
      <x:c r="S286" s="60" t="n">
        <x:v>0</x:v>
      </x:c>
      <x:c r="T286" s="58" t="str">
        <x:v>alta</x:v>
      </x:c>
      <x:c r="U286" s="60"/>
      <x:c r="V286" s="58" t="str">
        <x:v>Sin dato</x:v>
      </x:c>
      <x:c r="W286" s="64" t="str"/>
      <x:c r="X286" s="62" t="n">
        <x:v>46271.05877361111</x:v>
      </x:c>
      <x:c r="Y286" s="58" t="str">
        <x:v>No es todavía una fuente digital; conservar como pista territorial.</x:v>
      </x:c>
    </x:row>
    <x:row r="287" ht="42" customHeight="1">
      <x:c r="A287" s="9" t="str">
        <x:v>CL-FUE-0286</x:v>
      </x:c>
      <x:c r="B287" s="7" t="str">
        <x:v>Teatro Municipal German Moya Olave</x:v>
      </x:c>
      <x:c r="C287" s="7" t="str">
        <x:v>Teatro Municipal German Moya Olave</x:v>
      </x:c>
      <x:c r="D287" s="7" t="str">
        <x:v>Espacio cultural del directorio oficial</x:v>
      </x:c>
      <x:c r="E287" s="7" t="str">
        <x:v>Comunal/local</x:v>
      </x:c>
      <x:c r="F287" s="7" t="str">
        <x:v>Región del Maule</x:v>
      </x:c>
      <x:c r="G287" s="7" t="str">
        <x:v>San Clemente</x:v>
      </x:c>
      <x:c r="H287" s="7" t="str">
        <x:v>Teatro</x:v>
      </x:c>
      <x:c r="I287" s="7" t="str">
        <x:v>Canal digital por localizar</x:v>
      </x:c>
      <x:c r="J287" s="10" t="str"/>
      <x:c r="K287" s="10" t="str">
        <x:v>https://ciudadania.cultura.gob.cl/wp-content/uploads/2025/12/Directorio_Espacios-Culturales-2025_RC.pdf#page=188</x:v>
      </x:c>
      <x:c r="L287" s="7" t="str">
        <x:v>Referencia territorial</x:v>
      </x:c>
      <x:c r="M287" s="7" t="str">
        <x:v>No</x:v>
      </x:c>
      <x:c r="N287" s="7" t="str">
        <x:v>Baja</x:v>
      </x:c>
      <x:c r="O287" s="7" t="str">
        <x:v>Investigación manual</x:v>
      </x:c>
      <x:c r="P287" s="8" t="n">
        <x:v>46270.666666666664</x:v>
      </x:c>
      <x:c r="Q287" s="7" t="str">
        <x:v>Dirección OCR: Calle Alejandro Cruz s/n, San Clemente. Ficha PDF p. 188.</x:v>
      </x:c>
      <x:c r="R287" s="58" t="str">
        <x:v>Referencia sin agenda</x:v>
      </x:c>
      <x:c r="S287" s="60" t="n">
        <x:v>0</x:v>
      </x:c>
      <x:c r="T287" s="58" t="str">
        <x:v>alta</x:v>
      </x:c>
      <x:c r="U287" s="60"/>
      <x:c r="V287" s="58" t="str">
        <x:v>Sin dato</x:v>
      </x:c>
      <x:c r="W287" s="64" t="str"/>
      <x:c r="X287" s="62" t="n">
        <x:v>46271.05877362269</x:v>
      </x:c>
      <x:c r="Y287" s="58" t="str">
        <x:v>No es todavía una fuente digital; conservar como pista territorial.</x:v>
      </x:c>
    </x:row>
    <x:row r="288" ht="42" customHeight="1">
      <x:c r="A288" s="9" t="str">
        <x:v>CL-FUE-0287</x:v>
      </x:c>
      <x:c r="B288" s="7" t="str">
        <x:v>Teatro Municipal de Longavi</x:v>
      </x:c>
      <x:c r="C288" s="7" t="str">
        <x:v>Teatro Municipal de Longavi</x:v>
      </x:c>
      <x:c r="D288" s="7" t="str">
        <x:v>Espacio cultural del directorio oficial</x:v>
      </x:c>
      <x:c r="E288" s="7" t="str">
        <x:v>Comunal/local</x:v>
      </x:c>
      <x:c r="F288" s="7" t="str">
        <x:v>Región del Maule</x:v>
      </x:c>
      <x:c r="G288" s="7" t="str">
        <x:v>Longavi</x:v>
      </x:c>
      <x:c r="H288" s="7" t="str">
        <x:v>Teatro</x:v>
      </x:c>
      <x:c r="I288" s="7" t="str">
        <x:v>Canal digital por localizar</x:v>
      </x:c>
      <x:c r="J288" s="10" t="str"/>
      <x:c r="K288" s="10" t="str">
        <x:v>https://ciudadania.cultura.gob.cl/wp-content/uploads/2025/12/Directorio_Espacios-Culturales-2025_RC.pdf#page=189</x:v>
      </x:c>
      <x:c r="L288" s="7" t="str">
        <x:v>Referencia territorial</x:v>
      </x:c>
      <x:c r="M288" s="7" t="str">
        <x:v>No</x:v>
      </x:c>
      <x:c r="N288" s="7" t="str">
        <x:v>Baja</x:v>
      </x:c>
      <x:c r="O288" s="7" t="str">
        <x:v>Investigación manual</x:v>
      </x:c>
      <x:c r="P288" s="8" t="n">
        <x:v>46270.666666666664</x:v>
      </x:c>
      <x:c r="Q288" s="7" t="str">
        <x:v>Dirección OCR: 1 Oriente 224, Longavi. Ficha PDF p. 189.</x:v>
      </x:c>
      <x:c r="R288" s="58" t="str">
        <x:v>Referencia sin agenda</x:v>
      </x:c>
      <x:c r="S288" s="60" t="n">
        <x:v>0</x:v>
      </x:c>
      <x:c r="T288" s="58" t="str">
        <x:v>alta</x:v>
      </x:c>
      <x:c r="U288" s="60"/>
      <x:c r="V288" s="58" t="str">
        <x:v>Sin dato</x:v>
      </x:c>
      <x:c r="W288" s="64" t="str"/>
      <x:c r="X288" s="62" t="n">
        <x:v>46271.05877362269</x:v>
      </x:c>
      <x:c r="Y288" s="58" t="str">
        <x:v>No es todavía una fuente digital; conservar como pista territorial.</x:v>
      </x:c>
    </x:row>
    <x:row r="289" ht="42" customHeight="1">
      <x:c r="A289" s="9" t="str">
        <x:v>CL-FUE-0288</x:v>
      </x:c>
      <x:c r="B289" s="7" t="str">
        <x:v>Espacio cultural (ficha 190)</x:v>
      </x:c>
      <x:c r="C289" s="7" t="str">
        <x:v>Espacio cultural (ficha 190)</x:v>
      </x:c>
      <x:c r="D289" s="7" t="str">
        <x:v>Espacio cultural del directorio oficial</x:v>
      </x:c>
      <x:c r="E289" s="7" t="str">
        <x:v>Comunal/local</x:v>
      </x:c>
      <x:c r="F289" s="7" t="str">
        <x:v>Región del Maule</x:v>
      </x:c>
      <x:c r="G289" s="7" t="str"/>
      <x:c r="H289" s="7" t="str">
        <x:v>Artes escénicas; Artes visuales; Literatura; Patrimonio</x:v>
      </x:c>
      <x:c r="I289" s="7" t="str">
        <x:v>Canal digital por localizar</x:v>
      </x:c>
      <x:c r="J289" s="10" t="str"/>
      <x:c r="K289" s="10" t="str">
        <x:v>https://ciudadania.cultura.gob.cl/wp-content/uploads/2025/12/Directorio_Espacios-Culturales-2025_RC.pdf#page=190</x:v>
      </x:c>
      <x:c r="L289" s="7" t="str">
        <x:v>Referencia territorial</x:v>
      </x:c>
      <x:c r="M289" s="7" t="str">
        <x:v>No</x:v>
      </x:c>
      <x:c r="N289" s="7" t="str">
        <x:v>Baja</x:v>
      </x:c>
      <x:c r="O289" s="7" t="str">
        <x:v>Investigación manual</x:v>
      </x:c>
      <x:c r="P289" s="8" t="n">
        <x:v>46270.666666666664</x:v>
      </x:c>
      <x:c r="Q289" s="7" t="str">
        <x:v>Dirección OCR: Isabel Riquelme 479. Ficha PDF p. 190.</x:v>
      </x:c>
      <x:c r="R289" s="58" t="str">
        <x:v>Referencia sin agenda</x:v>
      </x:c>
      <x:c r="S289" s="60" t="n">
        <x:v>0</x:v>
      </x:c>
      <x:c r="T289" s="58" t="str">
        <x:v>alta</x:v>
      </x:c>
      <x:c r="U289" s="60"/>
      <x:c r="V289" s="58" t="str">
        <x:v>Sin dato</x:v>
      </x:c>
      <x:c r="W289" s="64" t="str"/>
      <x:c r="X289" s="62" t="n">
        <x:v>46271.05877362269</x:v>
      </x:c>
      <x:c r="Y289" s="58" t="str">
        <x:v>No es todavía una fuente digital; conservar como pista territorial.</x:v>
      </x:c>
    </x:row>
    <x:row r="290" ht="42" customHeight="1">
      <x:c r="A290" s="9" t="str">
        <x:v>CL-FUE-0289</x:v>
      </x:c>
      <x:c r="B290" s="7" t="str">
        <x:v>Espacio cultural (ficha 191)</x:v>
      </x:c>
      <x:c r="C290" s="7" t="str">
        <x:v>Espacio cultural (ficha 191)</x:v>
      </x:c>
      <x:c r="D290" s="7" t="str">
        <x:v>Espacio cultural del directorio oficial</x:v>
      </x:c>
      <x:c r="E290" s="7" t="str">
        <x:v>Comunal/local</x:v>
      </x:c>
      <x:c r="F290" s="7" t="str">
        <x:v>Región de Ñuble</x:v>
      </x:c>
      <x:c r="G290" s="7" t="str">
        <x:v>Chillan</x:v>
      </x:c>
      <x:c r="H290" s="7" t="str">
        <x:v>Patrimonio</x:v>
      </x:c>
      <x:c r="I290" s="7" t="str">
        <x:v>Canal digital por localizar</x:v>
      </x:c>
      <x:c r="J290" s="10" t="str"/>
      <x:c r="K290" s="10" t="str">
        <x:v>https://ciudadania.cultura.gob.cl/wp-content/uploads/2025/12/Directorio_Espacios-Culturales-2025_RC.pdf#page=191</x:v>
      </x:c>
      <x:c r="L290" s="7" t="str">
        <x:v>Referencia territorial</x:v>
      </x:c>
      <x:c r="M290" s="7" t="str">
        <x:v>No</x:v>
      </x:c>
      <x:c r="N290" s="7" t="str">
        <x:v>Baja</x:v>
      </x:c>
      <x:c r="O290" s="7" t="str">
        <x:v>Investigación manual</x:v>
      </x:c>
      <x:c r="P290" s="8" t="n">
        <x:v>46270.666666666664</x:v>
      </x:c>
      <x:c r="Q290" s="7" t="str">
        <x:v>Dirección OCR: El Roble 1051, Chillan. Ficha PDF p. 191.</x:v>
      </x:c>
      <x:c r="R290" s="58" t="str">
        <x:v>Referencia sin agenda</x:v>
      </x:c>
      <x:c r="S290" s="60" t="n">
        <x:v>0</x:v>
      </x:c>
      <x:c r="T290" s="58" t="str">
        <x:v>alta</x:v>
      </x:c>
      <x:c r="U290" s="60"/>
      <x:c r="V290" s="58" t="str">
        <x:v>Sin dato</x:v>
      </x:c>
      <x:c r="W290" s="64" t="str"/>
      <x:c r="X290" s="62" t="n">
        <x:v>46271.05877362269</x:v>
      </x:c>
      <x:c r="Y290" s="58" t="str">
        <x:v>No es todavía una fuente digital; conservar como pista territorial.</x:v>
      </x:c>
    </x:row>
    <x:row r="291" ht="42" customHeight="1">
      <x:c r="A291" s="9" t="str">
        <x:v>CL-FUE-0290</x:v>
      </x:c>
      <x:c r="B291" s="7" t="str">
        <x:v>Fundacién Teatro La Matriz</x:v>
      </x:c>
      <x:c r="C291" s="7" t="str">
        <x:v>Fundacién Teatro La Matriz</x:v>
      </x:c>
      <x:c r="D291" s="7" t="str">
        <x:v>Espacio cultural del directorio oficial</x:v>
      </x:c>
      <x:c r="E291" s="7" t="str">
        <x:v>Comunal/local</x:v>
      </x:c>
      <x:c r="F291" s="7" t="str">
        <x:v>Región de Ñuble</x:v>
      </x:c>
      <x:c r="G291" s="7" t="str">
        <x:v>San Carlos</x:v>
      </x:c>
      <x:c r="H291" s="7" t="str">
        <x:v>Artesanía; Artes escénicas; Audiovisual; Interculturalidad; Teatro</x:v>
      </x:c>
      <x:c r="I291" s="7" t="str">
        <x:v>Canal digital por localizar</x:v>
      </x:c>
      <x:c r="J291" s="10" t="str"/>
      <x:c r="K291" s="10" t="str">
        <x:v>https://ciudadania.cultura.gob.cl/wp-content/uploads/2025/12/Directorio_Espacios-Culturales-2025_RC.pdf#page=192</x:v>
      </x:c>
      <x:c r="L291" s="7" t="str">
        <x:v>Referencia territorial</x:v>
      </x:c>
      <x:c r="M291" s="7" t="str">
        <x:v>No</x:v>
      </x:c>
      <x:c r="N291" s="7" t="str">
        <x:v>Baja</x:v>
      </x:c>
      <x:c r="O291" s="7" t="str">
        <x:v>Investigación manual</x:v>
      </x:c>
      <x:c r="P291" s="8" t="n">
        <x:v>46270.666666666664</x:v>
      </x:c>
      <x:c r="Q291" s="7" t="str">
        <x:v>Dirección OCR: Av. Arturo Prat Norte 70, San Carlos. Ficha PDF p. 192.</x:v>
      </x:c>
      <x:c r="R291" s="58" t="str">
        <x:v>Referencia sin agenda</x:v>
      </x:c>
      <x:c r="S291" s="60" t="n">
        <x:v>0</x:v>
      </x:c>
      <x:c r="T291" s="58" t="str">
        <x:v>alta</x:v>
      </x:c>
      <x:c r="U291" s="60"/>
      <x:c r="V291" s="58" t="str">
        <x:v>Sin dato</x:v>
      </x:c>
      <x:c r="W291" s="64" t="str"/>
      <x:c r="X291" s="62" t="n">
        <x:v>46271.05877362269</x:v>
      </x:c>
      <x:c r="Y291" s="58" t="str">
        <x:v>No es todavía una fuente digital; conservar como pista territorial.</x:v>
      </x:c>
    </x:row>
    <x:row r="292" ht="42" customHeight="1">
      <x:c r="A292" s="9" t="str">
        <x:v>CL-FUE-0291</x:v>
      </x:c>
      <x:c r="B292" s="7" t="str">
        <x:v>Espacio cultural (ficha 193)</x:v>
      </x:c>
      <x:c r="C292" s="7" t="str">
        <x:v>Espacio cultural (ficha 193)</x:v>
      </x:c>
      <x:c r="D292" s="7" t="str">
        <x:v>Espacio cultural del directorio oficial</x:v>
      </x:c>
      <x:c r="E292" s="7" t="str">
        <x:v>Comunal/local</x:v>
      </x:c>
      <x:c r="F292" s="7" t="str">
        <x:v>Región de Ñuble</x:v>
      </x:c>
      <x:c r="G292" s="7" t="str">
        <x:v>Chillén</x:v>
      </x:c>
      <x:c r="H292" s="7" t="str">
        <x:v>Patrimonio</x:v>
      </x:c>
      <x:c r="I292" s="7" t="str">
        <x:v>Canal digital por localizar</x:v>
      </x:c>
      <x:c r="J292" s="10" t="str"/>
      <x:c r="K292" s="10" t="str">
        <x:v>https://ciudadania.cultura.gob.cl/wp-content/uploads/2025/12/Directorio_Espacios-Culturales-2025_RC.pdf#page=193</x:v>
      </x:c>
      <x:c r="L292" s="7" t="str">
        <x:v>Referencia territorial</x:v>
      </x:c>
      <x:c r="M292" s="7" t="str">
        <x:v>No</x:v>
      </x:c>
      <x:c r="N292" s="7" t="str">
        <x:v>Baja</x:v>
      </x:c>
      <x:c r="O292" s="7" t="str">
        <x:v>Investigación manual</x:v>
      </x:c>
      <x:c r="P292" s="8" t="n">
        <x:v>46270.666666666664</x:v>
      </x:c>
      <x:c r="Q292" s="7" t="str">
        <x:v>Dirección OCR: Andrés Bello 715, Chillén. Ficha PDF p. 193.</x:v>
      </x:c>
      <x:c r="R292" s="58" t="str">
        <x:v>Referencia sin agenda</x:v>
      </x:c>
      <x:c r="S292" s="60" t="n">
        <x:v>0</x:v>
      </x:c>
      <x:c r="T292" s="58" t="str">
        <x:v>alta</x:v>
      </x:c>
      <x:c r="U292" s="60"/>
      <x:c r="V292" s="58" t="str">
        <x:v>Sin dato</x:v>
      </x:c>
      <x:c r="W292" s="64" t="str"/>
      <x:c r="X292" s="62" t="n">
        <x:v>46271.05877362269</x:v>
      </x:c>
      <x:c r="Y292" s="58" t="str">
        <x:v>No es todavía una fuente digital; conservar como pista territorial.</x:v>
      </x:c>
    </x:row>
    <x:row r="293" ht="42" customHeight="1">
      <x:c r="A293" s="9" t="str">
        <x:v>CL-FUE-0292</x:v>
      </x:c>
      <x:c r="B293" s="7" t="str">
        <x:v>Teatro Municipal de Chillan</x:v>
      </x:c>
      <x:c r="C293" s="7" t="str">
        <x:v>Teatro Municipal de Chillan</x:v>
      </x:c>
      <x:c r="D293" s="7" t="str">
        <x:v>Espacio cultural del directorio oficial</x:v>
      </x:c>
      <x:c r="E293" s="7" t="str">
        <x:v>Comunal/local</x:v>
      </x:c>
      <x:c r="F293" s="7" t="str">
        <x:v>Región de Ñuble</x:v>
      </x:c>
      <x:c r="G293" s="7" t="str">
        <x:v>Chillan</x:v>
      </x:c>
      <x:c r="H293" s="7" t="str">
        <x:v>Artes escénicas; Artes visuales; Patrimonio; Teatro</x:v>
      </x:c>
      <x:c r="I293" s="7" t="str">
        <x:v>Canal digital por localizar</x:v>
      </x:c>
      <x:c r="J293" s="10" t="str"/>
      <x:c r="K293" s="10" t="str">
        <x:v>https://ciudadania.cultura.gob.cl/wp-content/uploads/2025/12/Directorio_Espacios-Culturales-2025_RC.pdf#page=194</x:v>
      </x:c>
      <x:c r="L293" s="7" t="str">
        <x:v>Referencia territorial</x:v>
      </x:c>
      <x:c r="M293" s="7" t="str">
        <x:v>No</x:v>
      </x:c>
      <x:c r="N293" s="7" t="str">
        <x:v>Baja</x:v>
      </x:c>
      <x:c r="O293" s="7" t="str">
        <x:v>Investigación manual</x:v>
      </x:c>
      <x:c r="P293" s="8" t="n">
        <x:v>46270.666666666664</x:v>
      </x:c>
      <x:c r="Q293" s="7" t="str">
        <x:v>Dirección OCR: 18 de septiembre 590, Chillan. Ficha PDF p. 194.</x:v>
      </x:c>
      <x:c r="R293" s="58" t="str">
        <x:v>Referencia sin agenda</x:v>
      </x:c>
      <x:c r="S293" s="60" t="n">
        <x:v>0</x:v>
      </x:c>
      <x:c r="T293" s="58" t="str">
        <x:v>alta</x:v>
      </x:c>
      <x:c r="U293" s="60"/>
      <x:c r="V293" s="58" t="str">
        <x:v>Sin dato</x:v>
      </x:c>
      <x:c r="W293" s="64" t="str"/>
      <x:c r="X293" s="62" t="n">
        <x:v>46271.05877362269</x:v>
      </x:c>
      <x:c r="Y293" s="58" t="str">
        <x:v>No es todavía una fuente digital; conservar como pista territorial.</x:v>
      </x:c>
    </x:row>
    <x:row r="294" ht="42" customHeight="1">
      <x:c r="A294" s="9" t="str">
        <x:v>CL-FUE-0293</x:v>
      </x:c>
      <x:c r="B294" s="7" t="str">
        <x:v>Centro Cultural Municipal de Chillan</x:v>
      </x:c>
      <x:c r="C294" s="7" t="str">
        <x:v>Centro Cultural Municipal de Chillan</x:v>
      </x:c>
      <x:c r="D294" s="7" t="str">
        <x:v>Espacio cultural del directorio oficial</x:v>
      </x:c>
      <x:c r="E294" s="7" t="str">
        <x:v>Comunal/local</x:v>
      </x:c>
      <x:c r="F294" s="7" t="str">
        <x:v>Región de Ñuble</x:v>
      </x:c>
      <x:c r="G294" s="7" t="str">
        <x:v>Chillan</x:v>
      </x:c>
      <x:c r="H294" s="7" t="str">
        <x:v>Multidisciplinario (por clasificar)</x:v>
      </x:c>
      <x:c r="I294" s="7" t="str">
        <x:v>Canal digital por localizar</x:v>
      </x:c>
      <x:c r="J294" s="10" t="str"/>
      <x:c r="K294" s="10" t="str">
        <x:v>https://ciudadania.cultura.gob.cl/wp-content/uploads/2025/12/Directorio_Espacios-Culturales-2025_RC.pdf#page=195</x:v>
      </x:c>
      <x:c r="L294" s="7" t="str">
        <x:v>Referencia territorial</x:v>
      </x:c>
      <x:c r="M294" s="7" t="str">
        <x:v>No</x:v>
      </x:c>
      <x:c r="N294" s="7" t="str">
        <x:v>Baja</x:v>
      </x:c>
      <x:c r="O294" s="7" t="str">
        <x:v>Investigación manual</x:v>
      </x:c>
      <x:c r="P294" s="8" t="n">
        <x:v>46270.666666666664</x:v>
      </x:c>
      <x:c r="Q294" s="7" t="str">
        <x:v>Dirección OCR: Herminda Martin 579, Chillan. Ficha PDF p. 195.</x:v>
      </x:c>
      <x:c r="R294" s="58" t="str">
        <x:v>Referencia sin agenda</x:v>
      </x:c>
      <x:c r="S294" s="60" t="n">
        <x:v>0</x:v>
      </x:c>
      <x:c r="T294" s="58" t="str">
        <x:v>alta</x:v>
      </x:c>
      <x:c r="U294" s="60"/>
      <x:c r="V294" s="58" t="str">
        <x:v>Sin dato</x:v>
      </x:c>
      <x:c r="W294" s="64" t="str"/>
      <x:c r="X294" s="62" t="n">
        <x:v>46271.05877362269</x:v>
      </x:c>
      <x:c r="Y294" s="58" t="str">
        <x:v>No es todavía una fuente digital; conservar como pista territorial.</x:v>
      </x:c>
    </x:row>
    <x:row r="295" ht="42" customHeight="1">
      <x:c r="A295" s="9" t="str">
        <x:v>CL-FUE-0294</x:v>
      </x:c>
      <x:c r="B295" s="7" t="str">
        <x:v>Casa Museo Violeta Parra</x:v>
      </x:c>
      <x:c r="C295" s="7" t="str">
        <x:v>Casa Museo Violeta Parra</x:v>
      </x:c>
      <x:c r="D295" s="7" t="str">
        <x:v>Espacio cultural del directorio oficial</x:v>
      </x:c>
      <x:c r="E295" s="7" t="str">
        <x:v>Comunal/local</x:v>
      </x:c>
      <x:c r="F295" s="7" t="str">
        <x:v>Región de Ñuble</x:v>
      </x:c>
      <x:c r="G295" s="7" t="str">
        <x:v>San Carlos</x:v>
      </x:c>
      <x:c r="H295" s="7" t="str">
        <x:v>Patrimonio</x:v>
      </x:c>
      <x:c r="I295" s="7" t="str">
        <x:v>Canal digital por localizar</x:v>
      </x:c>
      <x:c r="J295" s="10" t="str"/>
      <x:c r="K295" s="10" t="str">
        <x:v>https://ciudadania.cultura.gob.cl/wp-content/uploads/2025/12/Directorio_Espacios-Culturales-2025_RC.pdf#page=196</x:v>
      </x:c>
      <x:c r="L295" s="7" t="str">
        <x:v>Referencia territorial</x:v>
      </x:c>
      <x:c r="M295" s="7" t="str">
        <x:v>No</x:v>
      </x:c>
      <x:c r="N295" s="7" t="str">
        <x:v>Baja</x:v>
      </x:c>
      <x:c r="O295" s="7" t="str">
        <x:v>Investigación manual</x:v>
      </x:c>
      <x:c r="P295" s="8" t="n">
        <x:v>46270.666666666664</x:v>
      </x:c>
      <x:c r="Q295" s="7" t="str">
        <x:v>Dirección OCR: Roble 531, San Carlos. Ficha PDF p. 196.</x:v>
      </x:c>
      <x:c r="R295" s="58" t="str">
        <x:v>Referencia sin agenda</x:v>
      </x:c>
      <x:c r="S295" s="60" t="n">
        <x:v>0</x:v>
      </x:c>
      <x:c r="T295" s="58" t="str">
        <x:v>alta</x:v>
      </x:c>
      <x:c r="U295" s="60"/>
      <x:c r="V295" s="58" t="str">
        <x:v>Sin dato</x:v>
      </x:c>
      <x:c r="W295" s="64" t="str"/>
      <x:c r="X295" s="62" t="n">
        <x:v>46271.05877362269</x:v>
      </x:c>
      <x:c r="Y295" s="58" t="str">
        <x:v>No es todavía una fuente digital; conservar como pista territorial.</x:v>
      </x:c>
    </x:row>
    <x:row r="296" ht="42" customHeight="1">
      <x:c r="A296" s="9" t="str">
        <x:v>CL-FUE-0295</x:v>
      </x:c>
      <x:c r="B296" s="7" t="str">
        <x:v>Museo Internacional de la Grafica</x:v>
      </x:c>
      <x:c r="C296" s="7" t="str">
        <x:v>Museo Internacional de la Grafica</x:v>
      </x:c>
      <x:c r="D296" s="7" t="str">
        <x:v>Espacio cultural del directorio oficial</x:v>
      </x:c>
      <x:c r="E296" s="7" t="str">
        <x:v>Comunal/local</x:v>
      </x:c>
      <x:c r="F296" s="7" t="str">
        <x:v>Región de Ñuble</x:v>
      </x:c>
      <x:c r="G296" s="7" t="str">
        <x:v>Chillan</x:v>
      </x:c>
      <x:c r="H296" s="7" t="str">
        <x:v>Patrimonio</x:v>
      </x:c>
      <x:c r="I296" s="7" t="str">
        <x:v>Canal digital por localizar</x:v>
      </x:c>
      <x:c r="J296" s="10" t="str"/>
      <x:c r="K296" s="10" t="str">
        <x:v>https://ciudadania.cultura.gob.cl/wp-content/uploads/2025/12/Directorio_Espacios-Culturales-2025_RC.pdf#page=197</x:v>
      </x:c>
      <x:c r="L296" s="7" t="str">
        <x:v>Referencia territorial</x:v>
      </x:c>
      <x:c r="M296" s="7" t="str">
        <x:v>No</x:v>
      </x:c>
      <x:c r="N296" s="7" t="str">
        <x:v>Baja</x:v>
      </x:c>
      <x:c r="O296" s="7" t="str">
        <x:v>Investigación manual</x:v>
      </x:c>
      <x:c r="P296" s="8" t="n">
        <x:v>46270.666666666664</x:v>
      </x:c>
      <x:c r="Q296" s="7" t="str">
        <x:v>Dirección OCR: Av. O'Higgins esq. Veja de Saldias, Chillan. Ficha PDF p. 197.</x:v>
      </x:c>
      <x:c r="R296" s="58" t="str">
        <x:v>Referencia sin agenda</x:v>
      </x:c>
      <x:c r="S296" s="60" t="n">
        <x:v>0</x:v>
      </x:c>
      <x:c r="T296" s="58" t="str">
        <x:v>alta</x:v>
      </x:c>
      <x:c r="U296" s="60"/>
      <x:c r="V296" s="58" t="str">
        <x:v>Sin dato</x:v>
      </x:c>
      <x:c r="W296" s="64" t="str"/>
      <x:c r="X296" s="62" t="n">
        <x:v>46271.05877362269</x:v>
      </x:c>
      <x:c r="Y296" s="58" t="str">
        <x:v>No es todavía una fuente digital; conservar como pista territorial.</x:v>
      </x:c>
    </x:row>
    <x:row r="297" ht="42" customHeight="1">
      <x:c r="A297" s="9" t="str">
        <x:v>CL-FUE-0296</x:v>
      </x:c>
      <x:c r="B297" s="7" t="str">
        <x:v>Museo Vivo Artenin</x:v>
      </x:c>
      <x:c r="C297" s="7" t="str">
        <x:v>Museo Vivo Artenin</x:v>
      </x:c>
      <x:c r="D297" s="7" t="str">
        <x:v>Espacio cultural del directorio oficial</x:v>
      </x:c>
      <x:c r="E297" s="7" t="str">
        <x:v>Comunal/local</x:v>
      </x:c>
      <x:c r="F297" s="7" t="str">
        <x:v>Región de Ñuble</x:v>
      </x:c>
      <x:c r="G297" s="7" t="str">
        <x:v>Ninhue</x:v>
      </x:c>
      <x:c r="H297" s="7" t="str">
        <x:v>Patrimonio</x:v>
      </x:c>
      <x:c r="I297" s="7" t="str">
        <x:v>Canal digital por localizar</x:v>
      </x:c>
      <x:c r="J297" s="10" t="str"/>
      <x:c r="K297" s="10" t="str">
        <x:v>https://ciudadania.cultura.gob.cl/wp-content/uploads/2025/12/Directorio_Espacios-Culturales-2025_RC.pdf#page=198</x:v>
      </x:c>
      <x:c r="L297" s="7" t="str">
        <x:v>Referencia territorial</x:v>
      </x:c>
      <x:c r="M297" s="7" t="str">
        <x:v>No</x:v>
      </x:c>
      <x:c r="N297" s="7" t="str">
        <x:v>Baja</x:v>
      </x:c>
      <x:c r="O297" s="7" t="str">
        <x:v>Investigación manual</x:v>
      </x:c>
      <x:c r="P297" s="8" t="n">
        <x:v>46270.666666666664</x:v>
      </x:c>
      <x:c r="Q297" s="7" t="str">
        <x:v>Dirección OCR: Ruta N°48 con Ruta N°50, Ninhue. Ficha PDF p. 198.</x:v>
      </x:c>
      <x:c r="R297" s="58" t="str">
        <x:v>Referencia sin agenda</x:v>
      </x:c>
      <x:c r="S297" s="60" t="n">
        <x:v>0</x:v>
      </x:c>
      <x:c r="T297" s="58" t="str">
        <x:v>alta</x:v>
      </x:c>
      <x:c r="U297" s="60"/>
      <x:c r="V297" s="58" t="str">
        <x:v>Sin dato</x:v>
      </x:c>
      <x:c r="W297" s="64" t="str"/>
      <x:c r="X297" s="62" t="n">
        <x:v>46271.05877362269</x:v>
      </x:c>
      <x:c r="Y297" s="58" t="str">
        <x:v>No es todavía una fuente digital; conservar como pista territorial.</x:v>
      </x:c>
    </x:row>
    <x:row r="298" ht="42" customHeight="1">
      <x:c r="A298" s="9" t="str">
        <x:v>CL-FUE-0297</x:v>
      </x:c>
      <x:c r="B298" s="7" t="str">
        <x:v>Casa de la Cultura</x:v>
      </x:c>
      <x:c r="C298" s="7" t="str">
        <x:v>Casa de la Cultura</x:v>
      </x:c>
      <x:c r="D298" s="7" t="str">
        <x:v>Espacio cultural del directorio oficial</x:v>
      </x:c>
      <x:c r="E298" s="7" t="str">
        <x:v>Comunal/local</x:v>
      </x:c>
      <x:c r="F298" s="7" t="str">
        <x:v>Región de Ñuble</x:v>
      </x:c>
      <x:c r="G298" s="7" t="str">
        <x:v>Ranquil</x:v>
      </x:c>
      <x:c r="H298" s="7" t="str">
        <x:v>Multidisciplinario (por clasificar)</x:v>
      </x:c>
      <x:c r="I298" s="7" t="str">
        <x:v>Canal digital por localizar</x:v>
      </x:c>
      <x:c r="J298" s="10" t="str"/>
      <x:c r="K298" s="10" t="str">
        <x:v>https://ciudadania.cultura.gob.cl/wp-content/uploads/2025/12/Directorio_Espacios-Culturales-2025_RC.pdf#page=199</x:v>
      </x:c>
      <x:c r="L298" s="7" t="str">
        <x:v>Referencia territorial</x:v>
      </x:c>
      <x:c r="M298" s="7" t="str">
        <x:v>No</x:v>
      </x:c>
      <x:c r="N298" s="7" t="str">
        <x:v>Baja</x:v>
      </x:c>
      <x:c r="O298" s="7" t="str">
        <x:v>Investigación manual</x:v>
      </x:c>
      <x:c r="P298" s="8" t="n">
        <x:v>46270.666666666664</x:v>
      </x:c>
      <x:c r="Q298" s="7" t="str">
        <x:v>Dirección OCR: Nicasio Alarcén N° 416, Nipas, Ranquil. Ficha PDF p. 199.</x:v>
      </x:c>
      <x:c r="R298" s="58" t="str">
        <x:v>Referencia sin agenda</x:v>
      </x:c>
      <x:c r="S298" s="60" t="n">
        <x:v>0</x:v>
      </x:c>
      <x:c r="T298" s="58" t="str">
        <x:v>alta</x:v>
      </x:c>
      <x:c r="U298" s="60"/>
      <x:c r="V298" s="58" t="str">
        <x:v>Sin dato</x:v>
      </x:c>
      <x:c r="W298" s="64" t="str"/>
      <x:c r="X298" s="62" t="n">
        <x:v>46271.05877362269</x:v>
      </x:c>
      <x:c r="Y298" s="58" t="str">
        <x:v>No es todavía una fuente digital; conservar como pista territorial.</x:v>
      </x:c>
    </x:row>
    <x:row r="299" ht="42" customHeight="1">
      <x:c r="A299" s="9" t="str">
        <x:v>CL-FUE-0298</x:v>
      </x:c>
      <x:c r="B299" s="7" t="str">
        <x:v>Espacio cultural (ficha 200)</x:v>
      </x:c>
      <x:c r="C299" s="7" t="str">
        <x:v>Espacio cultural (ficha 200)</x:v>
      </x:c>
      <x:c r="D299" s="7" t="str">
        <x:v>Espacio cultural del directorio oficial</x:v>
      </x:c>
      <x:c r="E299" s="7" t="str">
        <x:v>Comunal/local</x:v>
      </x:c>
      <x:c r="F299" s="7" t="str">
        <x:v>Región de Ñuble</x:v>
      </x:c>
      <x:c r="G299" s="7" t="str">
        <x:v>San Carlos</x:v>
      </x:c>
      <x:c r="H299" s="7" t="str">
        <x:v>Multidisciplinario (por clasificar)</x:v>
      </x:c>
      <x:c r="I299" s="7" t="str">
        <x:v>Canal digital por localizar</x:v>
      </x:c>
      <x:c r="J299" s="10" t="str"/>
      <x:c r="K299" s="10" t="str">
        <x:v>https://ciudadania.cultura.gob.cl/wp-content/uploads/2025/12/Directorio_Espacios-Culturales-2025_RC.pdf#page=200</x:v>
      </x:c>
      <x:c r="L299" s="7" t="str">
        <x:v>Referencia territorial</x:v>
      </x:c>
      <x:c r="M299" s="7" t="str">
        <x:v>No</x:v>
      </x:c>
      <x:c r="N299" s="7" t="str">
        <x:v>Baja</x:v>
      </x:c>
      <x:c r="O299" s="7" t="str">
        <x:v>Investigación manual</x:v>
      </x:c>
      <x:c r="P299" s="8" t="n">
        <x:v>46270.666666666664</x:v>
      </x:c>
      <x:c r="Q299" s="7" t="str">
        <x:v>Dirección OCR: ‘Avenida Baena Espafia 0180, San Carlos. Ficha PDF p. 200.</x:v>
      </x:c>
      <x:c r="R299" s="58" t="str">
        <x:v>Referencia sin agenda</x:v>
      </x:c>
      <x:c r="S299" s="60" t="n">
        <x:v>0</x:v>
      </x:c>
      <x:c r="T299" s="58" t="str">
        <x:v>alta</x:v>
      </x:c>
      <x:c r="U299" s="60"/>
      <x:c r="V299" s="58" t="str">
        <x:v>Sin dato</x:v>
      </x:c>
      <x:c r="W299" s="64" t="str"/>
      <x:c r="X299" s="62" t="n">
        <x:v>46271.05877362269</x:v>
      </x:c>
      <x:c r="Y299" s="58" t="str">
        <x:v>No es todavía una fuente digital; conservar como pista territorial.</x:v>
      </x:c>
    </x:row>
    <x:row r="300" ht="42" customHeight="1">
      <x:c r="A300" s="9" t="str">
        <x:v>CL-FUE-0299</x:v>
      </x:c>
      <x:c r="B300" s="7" t="str">
        <x:v>‘Salén Lazaro Cardenas</x:v>
      </x:c>
      <x:c r="C300" s="7" t="str">
        <x:v>‘Salén Lazaro Cardenas</x:v>
      </x:c>
      <x:c r="D300" s="7" t="str">
        <x:v>Espacio cultural del directorio oficial</x:v>
      </x:c>
      <x:c r="E300" s="7" t="str">
        <x:v>Comunal/local</x:v>
      </x:c>
      <x:c r="F300" s="7" t="str">
        <x:v>Región de Ñuble</x:v>
      </x:c>
      <x:c r="G300" s="7" t="str">
        <x:v>Chillén</x:v>
      </x:c>
      <x:c r="H300" s="7" t="str">
        <x:v>Patrimonio</x:v>
      </x:c>
      <x:c r="I300" s="7" t="str">
        <x:v>Canal digital por localizar</x:v>
      </x:c>
      <x:c r="J300" s="10" t="str"/>
      <x:c r="K300" s="10" t="str">
        <x:v>https://ciudadania.cultura.gob.cl/wp-content/uploads/2025/12/Directorio_Espacios-Culturales-2025_RC.pdf#page=201</x:v>
      </x:c>
      <x:c r="L300" s="7" t="str">
        <x:v>Referencia territorial</x:v>
      </x:c>
      <x:c r="M300" s="7" t="str">
        <x:v>No</x:v>
      </x:c>
      <x:c r="N300" s="7" t="str">
        <x:v>Baja</x:v>
      </x:c>
      <x:c r="O300" s="7" t="str">
        <x:v>Investigación manual</x:v>
      </x:c>
      <x:c r="P300" s="8" t="n">
        <x:v>46270.666666666664</x:v>
      </x:c>
      <x:c r="Q300" s="7" t="str">
        <x:v>Dirección OCR: Vega de Saldia con Av. O'Higgins, Chillén. Ficha PDF p. 201.</x:v>
      </x:c>
      <x:c r="R300" s="58" t="str">
        <x:v>Referencia sin agenda</x:v>
      </x:c>
      <x:c r="S300" s="60" t="n">
        <x:v>0</x:v>
      </x:c>
      <x:c r="T300" s="58" t="str">
        <x:v>alta</x:v>
      </x:c>
      <x:c r="U300" s="60"/>
      <x:c r="V300" s="58" t="str">
        <x:v>Sin dato</x:v>
      </x:c>
      <x:c r="W300" s="64" t="str"/>
      <x:c r="X300" s="62" t="n">
        <x:v>46271.05877362269</x:v>
      </x:c>
      <x:c r="Y300" s="58" t="str">
        <x:v>No es todavía una fuente digital; conservar como pista territorial.</x:v>
      </x:c>
    </x:row>
    <x:row r="301" ht="42" customHeight="1">
      <x:c r="A301" s="9" t="str">
        <x:v>CL-FUE-0300</x:v>
      </x:c>
      <x:c r="B301" s="7" t="str">
        <x:v>Centro Cultural Edificio de la Cultura de Bulnes</x:v>
      </x:c>
      <x:c r="C301" s="7" t="str">
        <x:v>Centro Cultural Edificio de la Cultura de Bulnes</x:v>
      </x:c>
      <x:c r="D301" s="7" t="str">
        <x:v>Espacio cultural del directorio oficial</x:v>
      </x:c>
      <x:c r="E301" s="7" t="str">
        <x:v>Comunal/local</x:v>
      </x:c>
      <x:c r="F301" s="7" t="str">
        <x:v>Región de Ñuble</x:v>
      </x:c>
      <x:c r="G301" s="7" t="str">
        <x:v>Bulnes</x:v>
      </x:c>
      <x:c r="H301" s="7" t="str">
        <x:v>Patrimonio</x:v>
      </x:c>
      <x:c r="I301" s="7" t="str">
        <x:v>Canal digital por localizar</x:v>
      </x:c>
      <x:c r="J301" s="10" t="str"/>
      <x:c r="K301" s="10" t="str">
        <x:v>https://ciudadania.cultura.gob.cl/wp-content/uploads/2025/12/Directorio_Espacios-Culturales-2025_RC.pdf#page=202</x:v>
      </x:c>
      <x:c r="L301" s="7" t="str">
        <x:v>Referencia territorial</x:v>
      </x:c>
      <x:c r="M301" s="7" t="str">
        <x:v>No</x:v>
      </x:c>
      <x:c r="N301" s="7" t="str">
        <x:v>Baja</x:v>
      </x:c>
      <x:c r="O301" s="7" t="str">
        <x:v>Investigación manual</x:v>
      </x:c>
      <x:c r="P301" s="8" t="n">
        <x:v>46270.666666666664</x:v>
      </x:c>
      <x:c r="Q301" s="7" t="str">
        <x:v>Dirección OCR: Arturo Prat 367, Bulnes. Ficha PDF p. 202.</x:v>
      </x:c>
      <x:c r="R301" s="58" t="str">
        <x:v>Referencia sin agenda</x:v>
      </x:c>
      <x:c r="S301" s="60" t="n">
        <x:v>0</x:v>
      </x:c>
      <x:c r="T301" s="58" t="str">
        <x:v>alta</x:v>
      </x:c>
      <x:c r="U301" s="60"/>
      <x:c r="V301" s="58" t="str">
        <x:v>Sin dato</x:v>
      </x:c>
      <x:c r="W301" s="64" t="str"/>
      <x:c r="X301" s="62" t="n">
        <x:v>46271.05877362269</x:v>
      </x:c>
      <x:c r="Y301" s="58" t="str">
        <x:v>No es todavía una fuente digital; conservar como pista territorial.</x:v>
      </x:c>
    </x:row>
    <x:row r="302" ht="42" customHeight="1">
      <x:c r="A302" s="9" t="str">
        <x:v>CL-FUE-0301</x:v>
      </x:c>
      <x:c r="B302" s="7" t="str">
        <x:v>Teatro Municipal</x:v>
      </x:c>
      <x:c r="C302" s="7" t="str">
        <x:v>Teatro Municipal</x:v>
      </x:c>
      <x:c r="D302" s="7" t="str">
        <x:v>Espacio cultural del directorio oficial</x:v>
      </x:c>
      <x:c r="E302" s="7" t="str">
        <x:v>Comunal/local</x:v>
      </x:c>
      <x:c r="F302" s="7" t="str">
        <x:v>Región de Ñuble</x:v>
      </x:c>
      <x:c r="G302" s="7" t="str">
        <x:v>Quirihue</x:v>
      </x:c>
      <x:c r="H302" s="7" t="str">
        <x:v>Artes escénicas; Patrimonio; Teatro</x:v>
      </x:c>
      <x:c r="I302" s="7" t="str">
        <x:v>Canal digital por localizar</x:v>
      </x:c>
      <x:c r="J302" s="10" t="str"/>
      <x:c r="K302" s="10" t="str">
        <x:v>https://ciudadania.cultura.gob.cl/wp-content/uploads/2025/12/Directorio_Espacios-Culturales-2025_RC.pdf#page=203</x:v>
      </x:c>
      <x:c r="L302" s="7" t="str">
        <x:v>Referencia territorial</x:v>
      </x:c>
      <x:c r="M302" s="7" t="str">
        <x:v>No</x:v>
      </x:c>
      <x:c r="N302" s="7" t="str">
        <x:v>Baja</x:v>
      </x:c>
      <x:c r="O302" s="7" t="str">
        <x:v>Investigación manual</x:v>
      </x:c>
      <x:c r="P302" s="8" t="n">
        <x:v>46270.666666666664</x:v>
      </x:c>
      <x:c r="Q302" s="7" t="str">
        <x:v>Dirección OCR: San Martin 280, Quirihue. Ficha PDF p. 203.</x:v>
      </x:c>
      <x:c r="R302" s="58" t="str">
        <x:v>Referencia sin agenda</x:v>
      </x:c>
      <x:c r="S302" s="60" t="n">
        <x:v>0</x:v>
      </x:c>
      <x:c r="T302" s="58" t="str">
        <x:v>alta</x:v>
      </x:c>
      <x:c r="U302" s="60"/>
      <x:c r="V302" s="58" t="str">
        <x:v>Sin dato</x:v>
      </x:c>
      <x:c r="W302" s="64" t="str"/>
      <x:c r="X302" s="62" t="n">
        <x:v>46271.05877362269</x:v>
      </x:c>
      <x:c r="Y302" s="58" t="str">
        <x:v>No es todavía una fuente digital; conservar como pista territorial.</x:v>
      </x:c>
    </x:row>
    <x:row r="303" ht="42" customHeight="1">
      <x:c r="A303" s="9" t="str">
        <x:v>CL-FUE-0302</x:v>
      </x:c>
      <x:c r="B303" s="7" t="str">
        <x:v>Escuela de Cultura y Difusion Artistica</x:v>
      </x:c>
      <x:c r="C303" s="7" t="str">
        <x:v>Escuela de Cultura y Difusion Artistica</x:v>
      </x:c>
      <x:c r="D303" s="7" t="str">
        <x:v>Espacio cultural del directorio oficial</x:v>
      </x:c>
      <x:c r="E303" s="7" t="str">
        <x:v>Comunal/local</x:v>
      </x:c>
      <x:c r="F303" s="7" t="str">
        <x:v>Región de Ñuble</x:v>
      </x:c>
      <x:c r="G303" s="7" t="str">
        <x:v>Chillan</x:v>
      </x:c>
      <x:c r="H303" s="7" t="str">
        <x:v>Artes escénicas; Literatura</x:v>
      </x:c>
      <x:c r="I303" s="7" t="str">
        <x:v>Canal digital por localizar</x:v>
      </x:c>
      <x:c r="J303" s="10" t="str"/>
      <x:c r="K303" s="10" t="str">
        <x:v>https://ciudadania.cultura.gob.cl/wp-content/uploads/2025/12/Directorio_Espacios-Culturales-2025_RC.pdf#page=204</x:v>
      </x:c>
      <x:c r="L303" s="7" t="str">
        <x:v>Referencia territorial</x:v>
      </x:c>
      <x:c r="M303" s="7" t="str">
        <x:v>No</x:v>
      </x:c>
      <x:c r="N303" s="7" t="str">
        <x:v>Baja</x:v>
      </x:c>
      <x:c r="O303" s="7" t="str">
        <x:v>Investigación manual</x:v>
      </x:c>
      <x:c r="P303" s="8" t="n">
        <x:v>46270.666666666664</x:v>
      </x:c>
      <x:c r="Q303" s="7" t="str">
        <x:v>Dirección OCR: Arauco 356, Chillan. Ficha PDF p. 204.</x:v>
      </x:c>
      <x:c r="R303" s="58" t="str">
        <x:v>Referencia sin agenda</x:v>
      </x:c>
      <x:c r="S303" s="60" t="n">
        <x:v>0</x:v>
      </x:c>
      <x:c r="T303" s="58" t="str">
        <x:v>alta</x:v>
      </x:c>
      <x:c r="U303" s="60"/>
      <x:c r="V303" s="58" t="str">
        <x:v>Sin dato</x:v>
      </x:c>
      <x:c r="W303" s="64" t="str"/>
      <x:c r="X303" s="62" t="n">
        <x:v>46271.05877362269</x:v>
      </x:c>
      <x:c r="Y303" s="58" t="str">
        <x:v>No es todavía una fuente digital; conservar como pista territorial.</x:v>
      </x:c>
    </x:row>
    <x:row r="304" ht="42" customHeight="1">
      <x:c r="A304" s="9" t="str">
        <x:v>CL-FUE-0303</x:v>
      </x:c>
      <x:c r="B304" s="7" t="str">
        <x:v>Biblioteca Publica de Cabrero</x:v>
      </x:c>
      <x:c r="C304" s="7" t="str">
        <x:v>Biblioteca Publica de Cabrero</x:v>
      </x:c>
      <x:c r="D304" s="7" t="str">
        <x:v>Espacio cultural del directorio oficial</x:v>
      </x:c>
      <x:c r="E304" s="7" t="str">
        <x:v>Comunal/local</x:v>
      </x:c>
      <x:c r="F304" s="7" t="str">
        <x:v>Región del Biobío</x:v>
      </x:c>
      <x:c r="G304" s="7" t="str">
        <x:v>Cabrero</x:v>
      </x:c>
      <x:c r="H304" s="7" t="str">
        <x:v>Multidisciplinario (por clasificar)</x:v>
      </x:c>
      <x:c r="I304" s="7" t="str">
        <x:v>Canal digital por localizar</x:v>
      </x:c>
      <x:c r="J304" s="10" t="str"/>
      <x:c r="K304" s="10" t="str">
        <x:v>https://ciudadania.cultura.gob.cl/wp-content/uploads/2025/12/Directorio_Espacios-Culturales-2025_RC.pdf#page=205</x:v>
      </x:c>
      <x:c r="L304" s="7" t="str">
        <x:v>Referencia territorial</x:v>
      </x:c>
      <x:c r="M304" s="7" t="str">
        <x:v>No</x:v>
      </x:c>
      <x:c r="N304" s="7" t="str">
        <x:v>Baja</x:v>
      </x:c>
      <x:c r="O304" s="7" t="str">
        <x:v>Investigación manual</x:v>
      </x:c>
      <x:c r="P304" s="8" t="n">
        <x:v>46270.666666666664</x:v>
      </x:c>
      <x:c r="Q304" s="7" t="str">
        <x:v>Dirección OCR: Avenida Vial 215 B, Cabrero. Ficha PDF p. 205.</x:v>
      </x:c>
      <x:c r="R304" s="58" t="str">
        <x:v>Referencia sin agenda</x:v>
      </x:c>
      <x:c r="S304" s="60" t="n">
        <x:v>0</x:v>
      </x:c>
      <x:c r="T304" s="58" t="str">
        <x:v>alta</x:v>
      </x:c>
      <x:c r="U304" s="60"/>
      <x:c r="V304" s="58" t="str">
        <x:v>Sin dato</x:v>
      </x:c>
      <x:c r="W304" s="64" t="str"/>
      <x:c r="X304" s="62" t="n">
        <x:v>46271.05877362269</x:v>
      </x:c>
      <x:c r="Y304" s="58" t="str">
        <x:v>No es todavía una fuente digital; conservar como pista territorial.</x:v>
      </x:c>
    </x:row>
    <x:row r="305" ht="42" customHeight="1">
      <x:c r="A305" s="9" t="str">
        <x:v>CL-FUE-0304</x:v>
      </x:c>
      <x:c r="B305" s="7" t="str">
        <x:v>Y Higgins 851, Yumbel</x:v>
      </x:c>
      <x:c r="C305" s="7" t="str">
        <x:v>Y Higgins 851, Yumbel</x:v>
      </x:c>
      <x:c r="D305" s="7" t="str">
        <x:v>Espacio cultural del directorio oficial</x:v>
      </x:c>
      <x:c r="E305" s="7" t="str">
        <x:v>Comunal/local</x:v>
      </x:c>
      <x:c r="F305" s="7" t="str">
        <x:v>Región del Biobío</x:v>
      </x:c>
      <x:c r="G305" s="7" t="str">
        <x:v>Yumbel</x:v>
      </x:c>
      <x:c r="H305" s="7" t="str">
        <x:v>Multidisciplinario (por clasificar)</x:v>
      </x:c>
      <x:c r="I305" s="7" t="str">
        <x:v>Canal digital por localizar</x:v>
      </x:c>
      <x:c r="J305" s="10" t="str"/>
      <x:c r="K305" s="10" t="str">
        <x:v>https://ciudadania.cultura.gob.cl/wp-content/uploads/2025/12/Directorio_Espacios-Culturales-2025_RC.pdf#page=206</x:v>
      </x:c>
      <x:c r="L305" s="7" t="str">
        <x:v>Referencia territorial</x:v>
      </x:c>
      <x:c r="M305" s="7" t="str">
        <x:v>No</x:v>
      </x:c>
      <x:c r="N305" s="7" t="str">
        <x:v>Baja</x:v>
      </x:c>
      <x:c r="O305" s="7" t="str">
        <x:v>Investigación manual</x:v>
      </x:c>
      <x:c r="P305" s="8" t="n">
        <x:v>46270.666666666664</x:v>
      </x:c>
      <x:c r="Q305" s="7" t="str">
        <x:v>Dirección OCR: O'Higgins 851, Yumbel. Ficha PDF p. 206.</x:v>
      </x:c>
      <x:c r="R305" s="58" t="str">
        <x:v>Referencia sin agenda</x:v>
      </x:c>
      <x:c r="S305" s="60" t="n">
        <x:v>0</x:v>
      </x:c>
      <x:c r="T305" s="58" t="str">
        <x:v>alta</x:v>
      </x:c>
      <x:c r="U305" s="60"/>
      <x:c r="V305" s="58" t="str">
        <x:v>Sin dato</x:v>
      </x:c>
      <x:c r="W305" s="64" t="str"/>
      <x:c r="X305" s="62" t="n">
        <x:v>46271.05877362269</x:v>
      </x:c>
      <x:c r="Y305" s="58" t="str">
        <x:v>No es todavía una fuente digital; conservar como pista territorial.</x:v>
      </x:c>
    </x:row>
    <x:row r="306" ht="42" customHeight="1">
      <x:c r="A306" s="9" t="str">
        <x:v>CL-FUE-0305</x:v>
      </x:c>
      <x:c r="B306" s="7" t="str">
        <x:v>Espacio cultural Quilleco (ex sal6n auditorio)</x:v>
      </x:c>
      <x:c r="C306" s="7" t="str">
        <x:v>Espacio cultural Quilleco (ex sal6n auditorio)</x:v>
      </x:c>
      <x:c r="D306" s="7" t="str">
        <x:v>Espacio cultural del directorio oficial</x:v>
      </x:c>
      <x:c r="E306" s="7" t="str">
        <x:v>Comunal/local</x:v>
      </x:c>
      <x:c r="F306" s="7" t="str">
        <x:v>Región del Biobío</x:v>
      </x:c>
      <x:c r="G306" s="7" t="str">
        <x:v>Quilleco</x:v>
      </x:c>
      <x:c r="H306" s="7" t="str">
        <x:v>Multidisciplinario (por clasificar)</x:v>
      </x:c>
      <x:c r="I306" s="7" t="str">
        <x:v>Canal digital por localizar</x:v>
      </x:c>
      <x:c r="J306" s="10" t="str"/>
      <x:c r="K306" s="10" t="str">
        <x:v>https://ciudadania.cultura.gob.cl/wp-content/uploads/2025/12/Directorio_Espacios-Culturales-2025_RC.pdf#page=207</x:v>
      </x:c>
      <x:c r="L306" s="7" t="str">
        <x:v>Referencia territorial</x:v>
      </x:c>
      <x:c r="M306" s="7" t="str">
        <x:v>No</x:v>
      </x:c>
      <x:c r="N306" s="7" t="str">
        <x:v>Baja</x:v>
      </x:c>
      <x:c r="O306" s="7" t="str">
        <x:v>Investigación manual</x:v>
      </x:c>
      <x:c r="P306" s="8" t="n">
        <x:v>46270.666666666664</x:v>
      </x:c>
      <x:c r="Q306" s="7" t="str">
        <x:v>Dirección OCR: Bascur 431, Quilleco. Ficha PDF p. 207.</x:v>
      </x:c>
      <x:c r="R306" s="58" t="str">
        <x:v>Referencia sin agenda</x:v>
      </x:c>
      <x:c r="S306" s="60" t="n">
        <x:v>0</x:v>
      </x:c>
      <x:c r="T306" s="58" t="str">
        <x:v>alta</x:v>
      </x:c>
      <x:c r="U306" s="60"/>
      <x:c r="V306" s="58" t="str">
        <x:v>Sin dato</x:v>
      </x:c>
      <x:c r="W306" s="64" t="str"/>
      <x:c r="X306" s="62" t="n">
        <x:v>46271.05877362269</x:v>
      </x:c>
      <x:c r="Y306" s="58" t="str">
        <x:v>No es todavía una fuente digital; conservar como pista territorial.</x:v>
      </x:c>
    </x:row>
    <x:row r="307" ht="42" customHeight="1">
      <x:c r="A307" s="9" t="str">
        <x:v>CL-FUE-0306</x:v>
      </x:c>
      <x:c r="B307" s="7" t="str">
        <x:v>Espacio cultural (ficha 208)</x:v>
      </x:c>
      <x:c r="C307" s="7" t="str">
        <x:v>Espacio cultural (ficha 208)</x:v>
      </x:c>
      <x:c r="D307" s="7" t="str">
        <x:v>Espacio cultural del directorio oficial</x:v>
      </x:c>
      <x:c r="E307" s="7" t="str">
        <x:v>Comunal/local</x:v>
      </x:c>
      <x:c r="F307" s="7" t="str">
        <x:v>Región del Biobío</x:v>
      </x:c>
      <x:c r="G307" s="7" t="str">
        <x:v>Los Angeles</x:v>
      </x:c>
      <x:c r="H307" s="7" t="str">
        <x:v>Artesanía; Artes escénicas; Artes visuales; Circo; Danza; Educación artística; Literatura; Música</x:v>
      </x:c>
      <x:c r="I307" s="7" t="str">
        <x:v>Canal digital por localizar</x:v>
      </x:c>
      <x:c r="J307" s="10" t="str"/>
      <x:c r="K307" s="10" t="str">
        <x:v>https://ciudadania.cultura.gob.cl/wp-content/uploads/2025/12/Directorio_Espacios-Culturales-2025_RC.pdf#page=208</x:v>
      </x:c>
      <x:c r="L307" s="7" t="str">
        <x:v>Referencia territorial</x:v>
      </x:c>
      <x:c r="M307" s="7" t="str">
        <x:v>No</x:v>
      </x:c>
      <x:c r="N307" s="7" t="str">
        <x:v>Baja</x:v>
      </x:c>
      <x:c r="O307" s="7" t="str">
        <x:v>Investigación manual</x:v>
      </x:c>
      <x:c r="P307" s="8" t="n">
        <x:v>46270.666666666664</x:v>
      </x:c>
      <x:c r="Q307" s="7" t="str">
        <x:v>Dirección OCR: Lautaro 445, Los Angeles. Ficha PDF p. 208.</x:v>
      </x:c>
      <x:c r="R307" s="58" t="str">
        <x:v>Referencia sin agenda</x:v>
      </x:c>
      <x:c r="S307" s="60" t="n">
        <x:v>0</x:v>
      </x:c>
      <x:c r="T307" s="58" t="str">
        <x:v>alta</x:v>
      </x:c>
      <x:c r="U307" s="60"/>
      <x:c r="V307" s="58" t="str">
        <x:v>Sin dato</x:v>
      </x:c>
      <x:c r="W307" s="64" t="str"/>
      <x:c r="X307" s="62" t="n">
        <x:v>46271.05877362269</x:v>
      </x:c>
      <x:c r="Y307" s="58" t="str">
        <x:v>No es todavía una fuente digital; conservar como pista territorial.</x:v>
      </x:c>
    </x:row>
    <x:row r="308" ht="42" customHeight="1">
      <x:c r="A308" s="9" t="str">
        <x:v>CL-FUE-0307</x:v>
      </x:c>
      <x:c r="B308" s="7" t="str">
        <x:v>Biblioteca Publica de Tirta</x:v>
      </x:c>
      <x:c r="C308" s="7" t="str">
        <x:v>Biblioteca Publica de Tirta</x:v>
      </x:c>
      <x:c r="D308" s="7" t="str">
        <x:v>Espacio cultural del directorio oficial</x:v>
      </x:c>
      <x:c r="E308" s="7" t="str">
        <x:v>Comunal/local</x:v>
      </x:c>
      <x:c r="F308" s="7" t="str">
        <x:v>Región del Biobío</x:v>
      </x:c>
      <x:c r="G308" s="7" t="str">
        <x:v>Tirta</x:v>
      </x:c>
      <x:c r="H308" s="7" t="str">
        <x:v>Interculturalidad</x:v>
      </x:c>
      <x:c r="I308" s="7" t="str">
        <x:v>Canal digital por localizar</x:v>
      </x:c>
      <x:c r="J308" s="10" t="str"/>
      <x:c r="K308" s="10" t="str">
        <x:v>https://ciudadania.cultura.gob.cl/wp-content/uploads/2025/12/Directorio_Espacios-Culturales-2025_RC.pdf#page=209</x:v>
      </x:c>
      <x:c r="L308" s="7" t="str">
        <x:v>Referencia territorial</x:v>
      </x:c>
      <x:c r="M308" s="7" t="str">
        <x:v>No</x:v>
      </x:c>
      <x:c r="N308" s="7" t="str">
        <x:v>Baja</x:v>
      </x:c>
      <x:c r="O308" s="7" t="str">
        <x:v>Investigación manual</x:v>
      </x:c>
      <x:c r="P308" s="8" t="n">
        <x:v>46270.666666666664</x:v>
      </x:c>
      <x:c r="Q308" s="7" t="str">
        <x:v>Dirección OCR: Calle Fresia s/n, Tirta. Ficha PDF p. 209.</x:v>
      </x:c>
      <x:c r="R308" s="58" t="str">
        <x:v>Referencia sin agenda</x:v>
      </x:c>
      <x:c r="S308" s="60" t="n">
        <x:v>0</x:v>
      </x:c>
      <x:c r="T308" s="58" t="str">
        <x:v>alta</x:v>
      </x:c>
      <x:c r="U308" s="60"/>
      <x:c r="V308" s="58" t="str">
        <x:v>Sin dato</x:v>
      </x:c>
      <x:c r="W308" s="64" t="str"/>
      <x:c r="X308" s="62" t="n">
        <x:v>46271.05877362269</x:v>
      </x:c>
      <x:c r="Y308" s="58" t="str">
        <x:v>No es todavía una fuente digital; conservar como pista territorial.</x:v>
      </x:c>
    </x:row>
    <x:row r="309" ht="42" customHeight="1">
      <x:c r="A309" s="9" t="str">
        <x:v>CL-FUE-0308</x:v>
      </x:c>
      <x:c r="B309" s="7" t="str">
        <x:v>Biblioteca Municipal Samuel Lillo Figueroa 266</x:v>
      </x:c>
      <x:c r="C309" s="7" t="str">
        <x:v>Biblioteca Municipal Samuel Lillo Figueroa 266</x:v>
      </x:c>
      <x:c r="D309" s="7" t="str">
        <x:v>Espacio cultural del directorio oficial</x:v>
      </x:c>
      <x:c r="E309" s="7" t="str">
        <x:v>Comunal/local</x:v>
      </x:c>
      <x:c r="F309" s="7" t="str">
        <x:v>Región del Biobío</x:v>
      </x:c>
      <x:c r="G309" s="7" t="str">
        <x:v>Lebu</x:v>
      </x:c>
      <x:c r="H309" s="7" t="str">
        <x:v>Multidisciplinario (por clasificar)</x:v>
      </x:c>
      <x:c r="I309" s="7" t="str">
        <x:v>Canal digital por localizar</x:v>
      </x:c>
      <x:c r="J309" s="10" t="str"/>
      <x:c r="K309" s="10" t="str">
        <x:v>https://ciudadania.cultura.gob.cl/wp-content/uploads/2025/12/Directorio_Espacios-Culturales-2025_RC.pdf#page=210</x:v>
      </x:c>
      <x:c r="L309" s="7" t="str">
        <x:v>Referencia territorial</x:v>
      </x:c>
      <x:c r="M309" s="7" t="str">
        <x:v>No</x:v>
      </x:c>
      <x:c r="N309" s="7" t="str">
        <x:v>Baja</x:v>
      </x:c>
      <x:c r="O309" s="7" t="str">
        <x:v>Investigación manual</x:v>
      </x:c>
      <x:c r="P309" s="8" t="n">
        <x:v>46270.666666666664</x:v>
      </x:c>
      <x:c r="Q309" s="7" t="str">
        <x:v>Dirección OCR: Mackay 730, Lebu. Ficha PDF p. 210.</x:v>
      </x:c>
      <x:c r="R309" s="58" t="str">
        <x:v>Referencia sin agenda</x:v>
      </x:c>
      <x:c r="S309" s="60" t="n">
        <x:v>0</x:v>
      </x:c>
      <x:c r="T309" s="58" t="str">
        <x:v>alta</x:v>
      </x:c>
      <x:c r="U309" s="60"/>
      <x:c r="V309" s="58" t="str">
        <x:v>Sin dato</x:v>
      </x:c>
      <x:c r="W309" s="64" t="str"/>
      <x:c r="X309" s="62" t="n">
        <x:v>46271.05877362269</x:v>
      </x:c>
      <x:c r="Y309" s="58" t="str">
        <x:v>No es todavía una fuente digital; conservar como pista territorial.</x:v>
      </x:c>
    </x:row>
    <x:row r="310" ht="42" customHeight="1">
      <x:c r="A310" s="9" t="str">
        <x:v>CL-FUE-0309</x:v>
      </x:c>
      <x:c r="B310" s="7" t="str">
        <x:v>Winkil Ruka Kimiin</x:v>
      </x:c>
      <x:c r="C310" s="7" t="str">
        <x:v>Winkil Ruka Kimiin</x:v>
      </x:c>
      <x:c r="D310" s="7" t="str">
        <x:v>Espacio cultural del directorio oficial</x:v>
      </x:c>
      <x:c r="E310" s="7" t="str">
        <x:v>Comunal/local</x:v>
      </x:c>
      <x:c r="F310" s="7" t="str">
        <x:v>Región del Biobío</x:v>
      </x:c>
      <x:c r="G310" s="7" t="str">
        <x:v>Alto Biobio</x:v>
      </x:c>
      <x:c r="H310" s="7" t="str">
        <x:v>Interculturalidad; Patrimonio</x:v>
      </x:c>
      <x:c r="I310" s="7" t="str">
        <x:v>Canal digital por localizar</x:v>
      </x:c>
      <x:c r="J310" s="10" t="str"/>
      <x:c r="K310" s="10" t="str">
        <x:v>https://ciudadania.cultura.gob.cl/wp-content/uploads/2025/12/Directorio_Espacios-Culturales-2025_RC.pdf#page=211</x:v>
      </x:c>
      <x:c r="L310" s="7" t="str">
        <x:v>Referencia territorial</x:v>
      </x:c>
      <x:c r="M310" s="7" t="str">
        <x:v>No</x:v>
      </x:c>
      <x:c r="N310" s="7" t="str">
        <x:v>Baja</x:v>
      </x:c>
      <x:c r="O310" s="7" t="str">
        <x:v>Investigación manual</x:v>
      </x:c>
      <x:c r="P310" s="8" t="n">
        <x:v>46270.666666666664</x:v>
      </x:c>
      <x:c r="Q310" s="7" t="str">
        <x:v>Dirección OCR: Av. Alto Biobio 780, Alto Biobio. Ficha PDF p. 211.</x:v>
      </x:c>
      <x:c r="R310" s="58" t="str">
        <x:v>Referencia sin agenda</x:v>
      </x:c>
      <x:c r="S310" s="60" t="n">
        <x:v>0</x:v>
      </x:c>
      <x:c r="T310" s="58" t="str">
        <x:v>alta</x:v>
      </x:c>
      <x:c r="U310" s="60"/>
      <x:c r="V310" s="58" t="str">
        <x:v>Sin dato</x:v>
      </x:c>
      <x:c r="W310" s="64" t="str"/>
      <x:c r="X310" s="62" t="n">
        <x:v>46271.05877362269</x:v>
      </x:c>
      <x:c r="Y310" s="58" t="str">
        <x:v>No es todavía una fuente digital; conservar como pista territorial.</x:v>
      </x:c>
    </x:row>
    <x:row r="311" ht="42" customHeight="1">
      <x:c r="A311" s="9" t="str">
        <x:v>CL-FUE-0310</x:v>
      </x:c>
      <x:c r="B311" s="7" t="str">
        <x:v>Casa de la Cultura Jorge Vigueras Llanos</x:v>
      </x:c>
      <x:c r="C311" s="7" t="str">
        <x:v>Casa de la Cultura Jorge Vigueras Llanos</x:v>
      </x:c>
      <x:c r="D311" s="7" t="str">
        <x:v>Espacio cultural del directorio oficial</x:v>
      </x:c>
      <x:c r="E311" s="7" t="str">
        <x:v>Comunal/local</x:v>
      </x:c>
      <x:c r="F311" s="7" t="str">
        <x:v>Región del Biobío</x:v>
      </x:c>
      <x:c r="G311" s="7" t="str">
        <x:v>Coronel</x:v>
      </x:c>
      <x:c r="H311" s="7" t="str">
        <x:v>Teatro</x:v>
      </x:c>
      <x:c r="I311" s="7" t="str">
        <x:v>Canal digital por localizar</x:v>
      </x:c>
      <x:c r="J311" s="10" t="str"/>
      <x:c r="K311" s="10" t="str">
        <x:v>https://ciudadania.cultura.gob.cl/wp-content/uploads/2025/12/Directorio_Espacios-Culturales-2025_RC.pdf#page=212</x:v>
      </x:c>
      <x:c r="L311" s="7" t="str">
        <x:v>Referencia territorial</x:v>
      </x:c>
      <x:c r="M311" s="7" t="str">
        <x:v>No</x:v>
      </x:c>
      <x:c r="N311" s="7" t="str">
        <x:v>Baja</x:v>
      </x:c>
      <x:c r="O311" s="7" t="str">
        <x:v>Investigación manual</x:v>
      </x:c>
      <x:c r="P311" s="8" t="n">
        <x:v>46270.666666666664</x:v>
      </x:c>
      <x:c r="Q311" s="7" t="str">
        <x:v>Dirección OCR: Manuel Montt 420, Coronel. Ficha PDF p. 212.</x:v>
      </x:c>
      <x:c r="R311" s="58" t="str">
        <x:v>Referencia sin agenda</x:v>
      </x:c>
      <x:c r="S311" s="60" t="n">
        <x:v>0</x:v>
      </x:c>
      <x:c r="T311" s="58" t="str">
        <x:v>alta</x:v>
      </x:c>
      <x:c r="U311" s="60"/>
      <x:c r="V311" s="58" t="str">
        <x:v>Sin dato</x:v>
      </x:c>
      <x:c r="W311" s="64" t="str"/>
      <x:c r="X311" s="62" t="n">
        <x:v>46271.05877362269</x:v>
      </x:c>
      <x:c r="Y311" s="58" t="str">
        <x:v>No es todavía una fuente digital; conservar como pista territorial.</x:v>
      </x:c>
    </x:row>
    <x:row r="312" ht="42" customHeight="1">
      <x:c r="A312" s="9" t="str">
        <x:v>CL-FUE-0311</x:v>
      </x:c>
      <x:c r="B312" s="7" t="str">
        <x:v>Espacio cultural (ficha 213)</x:v>
      </x:c>
      <x:c r="C312" s="7" t="str">
        <x:v>Espacio cultural (ficha 213)</x:v>
      </x:c>
      <x:c r="D312" s="7" t="str">
        <x:v>Espacio cultural del directorio oficial</x:v>
      </x:c>
      <x:c r="E312" s="7" t="str">
        <x:v>Comunal/local</x:v>
      </x:c>
      <x:c r="F312" s="7" t="str">
        <x:v>Región del Biobío</x:v>
      </x:c>
      <x:c r="G312" s="7" t="str">
        <x:v>Talcahuano</x:v>
      </x:c>
      <x:c r="H312" s="7" t="str">
        <x:v>Patrimonio</x:v>
      </x:c>
      <x:c r="I312" s="7" t="str">
        <x:v>Canal digital por localizar</x:v>
      </x:c>
      <x:c r="J312" s="10" t="str"/>
      <x:c r="K312" s="10" t="str">
        <x:v>https://ciudadania.cultura.gob.cl/wp-content/uploads/2025/12/Directorio_Espacios-Culturales-2025_RC.pdf#page=213</x:v>
      </x:c>
      <x:c r="L312" s="7" t="str">
        <x:v>Referencia territorial</x:v>
      </x:c>
      <x:c r="M312" s="7" t="str">
        <x:v>No</x:v>
      </x:c>
      <x:c r="N312" s="7" t="str">
        <x:v>Baja</x:v>
      </x:c>
      <x:c r="O312" s="7" t="str">
        <x:v>Investigación manual</x:v>
      </x:c>
      <x:c r="P312" s="8" t="n">
        <x:v>46270.666666666664</x:v>
      </x:c>
      <x:c r="Q312" s="7" t="str">
        <x:v>Dirección OCR: Manuel Montt 420, Talcahuano. Ficha PDF p. 213.</x:v>
      </x:c>
      <x:c r="R312" s="58" t="str">
        <x:v>Referencia sin agenda</x:v>
      </x:c>
      <x:c r="S312" s="60" t="n">
        <x:v>0</x:v>
      </x:c>
      <x:c r="T312" s="58" t="str">
        <x:v>alta</x:v>
      </x:c>
      <x:c r="U312" s="60"/>
      <x:c r="V312" s="58" t="str">
        <x:v>Sin dato</x:v>
      </x:c>
      <x:c r="W312" s="64" t="str"/>
      <x:c r="X312" s="62" t="n">
        <x:v>46271.05877362269</x:v>
      </x:c>
      <x:c r="Y312" s="58" t="str">
        <x:v>No es todavía una fuente digital; conservar como pista territorial.</x:v>
      </x:c>
    </x:row>
    <x:row r="313" ht="42" customHeight="1">
      <x:c r="A313" s="9" t="str">
        <x:v>CL-FUE-0312</x:v>
      </x:c>
      <x:c r="B313" s="7" t="str">
        <x:v>Museo de Ia Historia de Penco</x:v>
      </x:c>
      <x:c r="C313" s="7" t="str">
        <x:v>Museo de Ia Historia de Penco</x:v>
      </x:c>
      <x:c r="D313" s="7" t="str">
        <x:v>Espacio cultural del directorio oficial</x:v>
      </x:c>
      <x:c r="E313" s="7" t="str">
        <x:v>Comunal/local</x:v>
      </x:c>
      <x:c r="F313" s="7" t="str">
        <x:v>Región del Biobío</x:v>
      </x:c>
      <x:c r="G313" s="7" t="str">
        <x:v>Penco</x:v>
      </x:c>
      <x:c r="H313" s="7" t="str">
        <x:v>Memoria y DD.HH.; Patrimonio</x:v>
      </x:c>
      <x:c r="I313" s="7" t="str">
        <x:v>Canal digital por localizar</x:v>
      </x:c>
      <x:c r="J313" s="10" t="str"/>
      <x:c r="K313" s="10" t="str">
        <x:v>https://ciudadania.cultura.gob.cl/wp-content/uploads/2025/12/Directorio_Espacios-Culturales-2025_RC.pdf#page=214</x:v>
      </x:c>
      <x:c r="L313" s="7" t="str">
        <x:v>Referencia territorial</x:v>
      </x:c>
      <x:c r="M313" s="7" t="str">
        <x:v>No</x:v>
      </x:c>
      <x:c r="N313" s="7" t="str">
        <x:v>Baja</x:v>
      </x:c>
      <x:c r="O313" s="7" t="str">
        <x:v>Investigación manual</x:v>
      </x:c>
      <x:c r="P313" s="8" t="n">
        <x:v>46270.666666666664</x:v>
      </x:c>
      <x:c r="Q313" s="7" t="str">
        <x:v>Dirección OCR: Calle Penco 202, Penco. Ficha PDF p. 214.</x:v>
      </x:c>
      <x:c r="R313" s="58" t="str">
        <x:v>Referencia sin agenda</x:v>
      </x:c>
      <x:c r="S313" s="60" t="n">
        <x:v>0</x:v>
      </x:c>
      <x:c r="T313" s="58" t="str">
        <x:v>alta</x:v>
      </x:c>
      <x:c r="U313" s="60"/>
      <x:c r="V313" s="58" t="str">
        <x:v>Sin dato</x:v>
      </x:c>
      <x:c r="W313" s="64" t="str"/>
      <x:c r="X313" s="62" t="n">
        <x:v>46271.05877362269</x:v>
      </x:c>
      <x:c r="Y313" s="58" t="str">
        <x:v>No es todavía una fuente digital; conservar como pista territorial.</x:v>
      </x:c>
    </x:row>
    <x:row r="314" ht="42" customHeight="1">
      <x:c r="A314" s="9" t="str">
        <x:v>CL-FUE-0313</x:v>
      </x:c>
      <x:c r="B314" s="7" t="str">
        <x:v>Punto de Cultura</x:v>
      </x:c>
      <x:c r="C314" s="7" t="str">
        <x:v>Punto de Cultura</x:v>
      </x:c>
      <x:c r="D314" s="7" t="str">
        <x:v>Espacio cultural del directorio oficial</x:v>
      </x:c>
      <x:c r="E314" s="7" t="str">
        <x:v>Comunal/local</x:v>
      </x:c>
      <x:c r="F314" s="7" t="str">
        <x:v>Región del Biobío</x:v>
      </x:c>
      <x:c r="G314" s="7" t="str">
        <x:v>Concepcién</x:v>
      </x:c>
      <x:c r="H314" s="7" t="str">
        <x:v>Multidisciplinario (por clasificar)</x:v>
      </x:c>
      <x:c r="I314" s="7" t="str">
        <x:v>Canal digital por localizar</x:v>
      </x:c>
      <x:c r="J314" s="10" t="str"/>
      <x:c r="K314" s="10" t="str">
        <x:v>https://ciudadania.cultura.gob.cl/wp-content/uploads/2025/12/Directorio_Espacios-Culturales-2025_RC.pdf#page=215</x:v>
      </x:c>
      <x:c r="L314" s="7" t="str">
        <x:v>Referencia territorial</x:v>
      </x:c>
      <x:c r="M314" s="7" t="str">
        <x:v>No</x:v>
      </x:c>
      <x:c r="N314" s="7" t="str">
        <x:v>Baja</x:v>
      </x:c>
      <x:c r="O314" s="7" t="str">
        <x:v>Investigación manual</x:v>
      </x:c>
      <x:c r="P314" s="8" t="n">
        <x:v>46270.666666666664</x:v>
      </x:c>
      <x:c r="Q314" s="7" t="str">
        <x:v>Dirección OCR: O'Higgins 555, Concepcién. Ficha PDF p. 215.</x:v>
      </x:c>
      <x:c r="R314" s="58" t="str">
        <x:v>Referencia sin agenda</x:v>
      </x:c>
      <x:c r="S314" s="60" t="n">
        <x:v>0</x:v>
      </x:c>
      <x:c r="T314" s="58" t="str">
        <x:v>alta</x:v>
      </x:c>
      <x:c r="U314" s="60"/>
      <x:c r="V314" s="58" t="str">
        <x:v>Sin dato</x:v>
      </x:c>
      <x:c r="W314" s="64" t="str"/>
      <x:c r="X314" s="62" t="n">
        <x:v>46271.05877362269</x:v>
      </x:c>
      <x:c r="Y314" s="58" t="str">
        <x:v>No es todavía una fuente digital; conservar como pista territorial.</x:v>
      </x:c>
    </x:row>
    <x:row r="315" ht="42" customHeight="1">
      <x:c r="A315" s="9" t="str">
        <x:v>CL-FUE-0314</x:v>
      </x:c>
      <x:c r="B315" s="7" t="str">
        <x:v>Teatro Alex Lermanda</x:v>
      </x:c>
      <x:c r="C315" s="7" t="str">
        <x:v>Teatro Alex Lermanda</x:v>
      </x:c>
      <x:c r="D315" s="7" t="str">
        <x:v>Espacio cultural del directorio oficial</x:v>
      </x:c>
      <x:c r="E315" s="7" t="str">
        <x:v>Comunal/local</x:v>
      </x:c>
      <x:c r="F315" s="7" t="str">
        <x:v>Región del Biobío</x:v>
      </x:c>
      <x:c r="G315" s="7" t="str">
        <x:v>Tucapel</x:v>
      </x:c>
      <x:c r="H315" s="7" t="str">
        <x:v>Teatro</x:v>
      </x:c>
      <x:c r="I315" s="7" t="str">
        <x:v>Canal digital por localizar</x:v>
      </x:c>
      <x:c r="J315" s="10" t="str"/>
      <x:c r="K315" s="10" t="str">
        <x:v>https://ciudadania.cultura.gob.cl/wp-content/uploads/2025/12/Directorio_Espacios-Culturales-2025_RC.pdf#page=216</x:v>
      </x:c>
      <x:c r="L315" s="7" t="str">
        <x:v>Referencia territorial</x:v>
      </x:c>
      <x:c r="M315" s="7" t="str">
        <x:v>No</x:v>
      </x:c>
      <x:c r="N315" s="7" t="str">
        <x:v>Baja</x:v>
      </x:c>
      <x:c r="O315" s="7" t="str">
        <x:v>Investigación manual</x:v>
      </x:c>
      <x:c r="P315" s="8" t="n">
        <x:v>46270.666666666664</x:v>
      </x:c>
      <x:c r="Q315" s="7" t="str">
        <x:v>Dirección OCR: Covadonga esq. San Diego s/n, Tucapel. Ficha PDF p. 216.</x:v>
      </x:c>
      <x:c r="R315" s="58" t="str">
        <x:v>Referencia sin agenda</x:v>
      </x:c>
      <x:c r="S315" s="60" t="n">
        <x:v>0</x:v>
      </x:c>
      <x:c r="T315" s="58" t="str">
        <x:v>alta</x:v>
      </x:c>
      <x:c r="U315" s="60"/>
      <x:c r="V315" s="58" t="str">
        <x:v>Sin dato</x:v>
      </x:c>
      <x:c r="W315" s="64" t="str"/>
      <x:c r="X315" s="62" t="n">
        <x:v>46271.05877362269</x:v>
      </x:c>
      <x:c r="Y315" s="58" t="str">
        <x:v>No es todavía una fuente digital; conservar como pista territorial.</x:v>
      </x:c>
    </x:row>
    <x:row r="316" ht="42" customHeight="1">
      <x:c r="A316" s="9" t="str">
        <x:v>CL-FUE-0315</x:v>
      </x:c>
      <x:c r="B316" s="7" t="str">
        <x:v>Centro Cultural Eduardo Pinto Rodriguez</x:v>
      </x:c>
      <x:c r="C316" s="7" t="str">
        <x:v>Centro Cultural Eduardo Pinto Rodriguez</x:v>
      </x:c>
      <x:c r="D316" s="7" t="str">
        <x:v>Espacio cultural del directorio oficial</x:v>
      </x:c>
      <x:c r="E316" s="7" t="str">
        <x:v>Comunal/local</x:v>
      </x:c>
      <x:c r="F316" s="7" t="str">
        <x:v>Región del Biobío</x:v>
      </x:c>
      <x:c r="G316" s="7" t="str">
        <x:v>Curanilahue</x:v>
      </x:c>
      <x:c r="H316" s="7" t="str">
        <x:v>Multidisciplinario (por clasificar)</x:v>
      </x:c>
      <x:c r="I316" s="7" t="str">
        <x:v>Canal digital por localizar</x:v>
      </x:c>
      <x:c r="J316" s="10" t="str"/>
      <x:c r="K316" s="10" t="str">
        <x:v>https://ciudadania.cultura.gob.cl/wp-content/uploads/2025/12/Directorio_Espacios-Culturales-2025_RC.pdf#page=217</x:v>
      </x:c>
      <x:c r="L316" s="7" t="str">
        <x:v>Referencia territorial</x:v>
      </x:c>
      <x:c r="M316" s="7" t="str">
        <x:v>No</x:v>
      </x:c>
      <x:c r="N316" s="7" t="str">
        <x:v>Baja</x:v>
      </x:c>
      <x:c r="O316" s="7" t="str">
        <x:v>Investigación manual</x:v>
      </x:c>
      <x:c r="P316" s="8" t="n">
        <x:v>46270.666666666664</x:v>
      </x:c>
      <x:c r="Q316" s="7" t="str">
        <x:v>Dirección OCR: Arturo Prat 817, Curanilahue. Ficha PDF p. 217.</x:v>
      </x:c>
      <x:c r="R316" s="58" t="str">
        <x:v>Referencia sin agenda</x:v>
      </x:c>
      <x:c r="S316" s="60" t="n">
        <x:v>0</x:v>
      </x:c>
      <x:c r="T316" s="58" t="str">
        <x:v>alta</x:v>
      </x:c>
      <x:c r="U316" s="60"/>
      <x:c r="V316" s="58" t="str">
        <x:v>Sin dato</x:v>
      </x:c>
      <x:c r="W316" s="64" t="str"/>
      <x:c r="X316" s="62" t="n">
        <x:v>46271.05877362269</x:v>
      </x:c>
      <x:c r="Y316" s="58" t="str">
        <x:v>No es todavía una fuente digital; conservar como pista territorial.</x:v>
      </x:c>
    </x:row>
    <x:row r="317" ht="42" customHeight="1">
      <x:c r="A317" s="9" t="str">
        <x:v>CL-FUE-0316</x:v>
      </x:c>
      <x:c r="B317" s="7" t="str">
        <x:v>Centro Cultural Municipal de Hualpén</x:v>
      </x:c>
      <x:c r="C317" s="7" t="str">
        <x:v>Centro Cultural Municipal de Hualpén</x:v>
      </x:c>
      <x:c r="D317" s="7" t="str">
        <x:v>Espacio cultural del directorio oficial</x:v>
      </x:c>
      <x:c r="E317" s="7" t="str">
        <x:v>Comunal/local</x:v>
      </x:c>
      <x:c r="F317" s="7" t="str">
        <x:v>Región del Biobío</x:v>
      </x:c>
      <x:c r="G317" s="7" t="str">
        <x:v>Hualpén</x:v>
      </x:c>
      <x:c r="H317" s="7" t="str">
        <x:v>Multidisciplinario (por clasificar)</x:v>
      </x:c>
      <x:c r="I317" s="7" t="str">
        <x:v>Canal digital por localizar</x:v>
      </x:c>
      <x:c r="J317" s="10" t="str"/>
      <x:c r="K317" s="10" t="str">
        <x:v>https://ciudadania.cultura.gob.cl/wp-content/uploads/2025/12/Directorio_Espacios-Culturales-2025_RC.pdf#page=218</x:v>
      </x:c>
      <x:c r="L317" s="7" t="str">
        <x:v>Referencia territorial</x:v>
      </x:c>
      <x:c r="M317" s="7" t="str">
        <x:v>No</x:v>
      </x:c>
      <x:c r="N317" s="7" t="str">
        <x:v>Baja</x:v>
      </x:c>
      <x:c r="O317" s="7" t="str">
        <x:v>Investigación manual</x:v>
      </x:c>
      <x:c r="P317" s="8" t="n">
        <x:v>46270.666666666664</x:v>
      </x:c>
      <x:c r="Q317" s="7" t="str">
        <x:v>Dirección OCR: Potsdam 751 esq. Reconquista, Hualpén. Ficha PDF p. 218.</x:v>
      </x:c>
      <x:c r="R317" s="58" t="str">
        <x:v>Referencia sin agenda</x:v>
      </x:c>
      <x:c r="S317" s="60" t="n">
        <x:v>0</x:v>
      </x:c>
      <x:c r="T317" s="58" t="str">
        <x:v>alta</x:v>
      </x:c>
      <x:c r="U317" s="60"/>
      <x:c r="V317" s="58" t="str">
        <x:v>Sin dato</x:v>
      </x:c>
      <x:c r="W317" s="64" t="str"/>
      <x:c r="X317" s="62" t="n">
        <x:v>46271.05877362269</x:v>
      </x:c>
      <x:c r="Y317" s="58" t="str">
        <x:v>No es todavía una fuente digital; conservar como pista territorial.</x:v>
      </x:c>
    </x:row>
    <x:row r="318" ht="42" customHeight="1">
      <x:c r="A318" s="9" t="str">
        <x:v>CL-FUE-0317</x:v>
      </x:c>
      <x:c r="B318" s="7" t="str">
        <x:v>Casa de la Cultura de Quilaco</x:v>
      </x:c>
      <x:c r="C318" s="7" t="str">
        <x:v>Casa de la Cultura de Quilaco</x:v>
      </x:c>
      <x:c r="D318" s="7" t="str">
        <x:v>Espacio cultural del directorio oficial</x:v>
      </x:c>
      <x:c r="E318" s="7" t="str">
        <x:v>Comunal/local</x:v>
      </x:c>
      <x:c r="F318" s="7" t="str">
        <x:v>Región del Biobío</x:v>
      </x:c>
      <x:c r="G318" s="7" t="str">
        <x:v>Quilaco</x:v>
      </x:c>
      <x:c r="H318" s="7" t="str">
        <x:v>Patrimonio</x:v>
      </x:c>
      <x:c r="I318" s="7" t="str">
        <x:v>Canal digital por localizar</x:v>
      </x:c>
      <x:c r="J318" s="10" t="str"/>
      <x:c r="K318" s="10" t="str">
        <x:v>https://ciudadania.cultura.gob.cl/wp-content/uploads/2025/12/Directorio_Espacios-Culturales-2025_RC.pdf#page=219</x:v>
      </x:c>
      <x:c r="L318" s="7" t="str">
        <x:v>Referencia territorial</x:v>
      </x:c>
      <x:c r="M318" s="7" t="str">
        <x:v>No</x:v>
      </x:c>
      <x:c r="N318" s="7" t="str">
        <x:v>Baja</x:v>
      </x:c>
      <x:c r="O318" s="7" t="str">
        <x:v>Investigación manual</x:v>
      </x:c>
      <x:c r="P318" s="8" t="n">
        <x:v>46270.666666666664</x:v>
      </x:c>
      <x:c r="Q318" s="7" t="str">
        <x:v>Dirección OCR: O'Higgins 1619, Quilaco. Ficha PDF p. 219.</x:v>
      </x:c>
      <x:c r="R318" s="58" t="str">
        <x:v>Referencia sin agenda</x:v>
      </x:c>
      <x:c r="S318" s="60" t="n">
        <x:v>0</x:v>
      </x:c>
      <x:c r="T318" s="58" t="str">
        <x:v>alta</x:v>
      </x:c>
      <x:c r="U318" s="60"/>
      <x:c r="V318" s="58" t="str">
        <x:v>Sin dato</x:v>
      </x:c>
      <x:c r="W318" s="64" t="str"/>
      <x:c r="X318" s="62" t="n">
        <x:v>46271.05877362269</x:v>
      </x:c>
      <x:c r="Y318" s="58" t="str">
        <x:v>No es todavía una fuente digital; conservar como pista territorial.</x:v>
      </x:c>
    </x:row>
    <x:row r="319" ht="42" customHeight="1">
      <x:c r="A319" s="9" t="str">
        <x:v>CL-FUE-0318</x:v>
      </x:c>
      <x:c r="B319" s="7" t="str">
        <x:v>Centro Cultural Gladys Sepulveda</x:v>
      </x:c>
      <x:c r="C319" s="7" t="str">
        <x:v>Centro Cultural Gladys Sepulveda</x:v>
      </x:c>
      <x:c r="D319" s="7" t="str">
        <x:v>Espacio cultural del directorio oficial</x:v>
      </x:c>
      <x:c r="E319" s="7" t="str">
        <x:v>Comunal/local</x:v>
      </x:c>
      <x:c r="F319" s="7" t="str">
        <x:v>Región del Biobío</x:v>
      </x:c>
      <x:c r="G319" s="7" t="str"/>
      <x:c r="H319" s="7" t="str">
        <x:v>Artes visuales</x:v>
      </x:c>
      <x:c r="I319" s="7" t="str">
        <x:v>Canal digital por localizar</x:v>
      </x:c>
      <x:c r="J319" s="10" t="str"/>
      <x:c r="K319" s="10" t="str">
        <x:v>https://ciudadania.cultura.gob.cl/wp-content/uploads/2025/12/Directorio_Espacios-Culturales-2025_RC.pdf#page=220</x:v>
      </x:c>
      <x:c r="L319" s="7" t="str">
        <x:v>Referencia territorial</x:v>
      </x:c>
      <x:c r="M319" s="7" t="str">
        <x:v>No</x:v>
      </x:c>
      <x:c r="N319" s="7" t="str">
        <x:v>Baja</x:v>
      </x:c>
      <x:c r="O319" s="7" t="str">
        <x:v>Investigación manual</x:v>
      </x:c>
      <x:c r="P319" s="8" t="n">
        <x:v>46270.666666666664</x:v>
      </x:c>
      <x:c r="Q319" s="7" t="str">
        <x:v>Dirección OCR: no reconocida. Ficha PDF p. 220.</x:v>
      </x:c>
      <x:c r="R319" s="58" t="str">
        <x:v>Referencia sin agenda</x:v>
      </x:c>
      <x:c r="S319" s="60" t="n">
        <x:v>0</x:v>
      </x:c>
      <x:c r="T319" s="58" t="str">
        <x:v>alta</x:v>
      </x:c>
      <x:c r="U319" s="60"/>
      <x:c r="V319" s="58" t="str">
        <x:v>Sin dato</x:v>
      </x:c>
      <x:c r="W319" s="64" t="str"/>
      <x:c r="X319" s="62" t="n">
        <x:v>46271.05877362269</x:v>
      </x:c>
      <x:c r="Y319" s="58" t="str">
        <x:v>No es todavía una fuente digital; conservar como pista territorial.</x:v>
      </x:c>
    </x:row>
    <x:row r="320" ht="42" customHeight="1">
      <x:c r="A320" s="9" t="str">
        <x:v>CL-FUE-0319</x:v>
      </x:c>
      <x:c r="B320" s="7" t="str">
        <x:v>Casa de [a Cultura</x:v>
      </x:c>
      <x:c r="C320" s="7" t="str">
        <x:v>Casa de [a Cultura</x:v>
      </x:c>
      <x:c r="D320" s="7" t="str">
        <x:v>Espacio cultural del directorio oficial</x:v>
      </x:c>
      <x:c r="E320" s="7" t="str">
        <x:v>Comunal/local</x:v>
      </x:c>
      <x:c r="F320" s="7" t="str">
        <x:v>Región del Biobío</x:v>
      </x:c>
      <x:c r="G320" s="7" t="str">
        <x:v>Chiguayante</x:v>
      </x:c>
      <x:c r="H320" s="7" t="str">
        <x:v>Artesanía; Artes escénicas; Audiovisual; Interculturalidad</x:v>
      </x:c>
      <x:c r="I320" s="7" t="str">
        <x:v>Canal digital por localizar</x:v>
      </x:c>
      <x:c r="J320" s="10" t="str"/>
      <x:c r="K320" s="10" t="str">
        <x:v>https://ciudadania.cultura.gob.cl/wp-content/uploads/2025/12/Directorio_Espacios-Culturales-2025_RC.pdf#page=221</x:v>
      </x:c>
      <x:c r="L320" s="7" t="str">
        <x:v>Referencia territorial</x:v>
      </x:c>
      <x:c r="M320" s="7" t="str">
        <x:v>No</x:v>
      </x:c>
      <x:c r="N320" s="7" t="str">
        <x:v>Baja</x:v>
      </x:c>
      <x:c r="O320" s="7" t="str">
        <x:v>Investigación manual</x:v>
      </x:c>
      <x:c r="P320" s="8" t="n">
        <x:v>46270.666666666664</x:v>
      </x:c>
      <x:c r="Q320" s="7" t="str">
        <x:v>Dirección OCR: Orozimbo Barbosa 294, Chiguayante. Ficha PDF p. 221.</x:v>
      </x:c>
      <x:c r="R320" s="58" t="str">
        <x:v>Referencia sin agenda</x:v>
      </x:c>
      <x:c r="S320" s="60" t="n">
        <x:v>0</x:v>
      </x:c>
      <x:c r="T320" s="58" t="str">
        <x:v>alta</x:v>
      </x:c>
      <x:c r="U320" s="60"/>
      <x:c r="V320" s="58" t="str">
        <x:v>Sin dato</x:v>
      </x:c>
      <x:c r="W320" s="64" t="str"/>
      <x:c r="X320" s="62" t="n">
        <x:v>46271.05877362269</x:v>
      </x:c>
      <x:c r="Y320" s="58" t="str">
        <x:v>No es todavía una fuente digital; conservar como pista territorial.</x:v>
      </x:c>
    </x:row>
    <x:row r="321" ht="42" customHeight="1">
      <x:c r="A321" s="9" t="str">
        <x:v>CL-FUE-0320</x:v>
      </x:c>
      <x:c r="B321" s="7" t="str">
        <x:v>Sala de la Cultura y las Artes de Cabrero</x:v>
      </x:c>
      <x:c r="C321" s="7" t="str">
        <x:v>Sala de la Cultura y las Artes de Cabrero</x:v>
      </x:c>
      <x:c r="D321" s="7" t="str">
        <x:v>Espacio cultural del directorio oficial</x:v>
      </x:c>
      <x:c r="E321" s="7" t="str">
        <x:v>Comunal/local</x:v>
      </x:c>
      <x:c r="F321" s="7" t="str">
        <x:v>Región del Biobío</x:v>
      </x:c>
      <x:c r="G321" s="7" t="str">
        <x:v>Cabrero</x:v>
      </x:c>
      <x:c r="H321" s="7" t="str">
        <x:v>Multidisciplinario (por clasificar)</x:v>
      </x:c>
      <x:c r="I321" s="7" t="str">
        <x:v>Canal digital por localizar</x:v>
      </x:c>
      <x:c r="J321" s="10" t="str"/>
      <x:c r="K321" s="10" t="str">
        <x:v>https://ciudadania.cultura.gob.cl/wp-content/uploads/2025/12/Directorio_Espacios-Culturales-2025_RC.pdf#page=222</x:v>
      </x:c>
      <x:c r="L321" s="7" t="str">
        <x:v>Referencia territorial</x:v>
      </x:c>
      <x:c r="M321" s="7" t="str">
        <x:v>No</x:v>
      </x:c>
      <x:c r="N321" s="7" t="str">
        <x:v>Baja</x:v>
      </x:c>
      <x:c r="O321" s="7" t="str">
        <x:v>Investigación manual</x:v>
      </x:c>
      <x:c r="P321" s="8" t="n">
        <x:v>46270.666666666664</x:v>
      </x:c>
      <x:c r="Q321" s="7" t="str">
        <x:v>Dirección OCR: Rio Claro 319, Cabrero. Ficha PDF p. 222.</x:v>
      </x:c>
      <x:c r="R321" s="58" t="str">
        <x:v>Referencia sin agenda</x:v>
      </x:c>
      <x:c r="S321" s="60" t="n">
        <x:v>0</x:v>
      </x:c>
      <x:c r="T321" s="58" t="str">
        <x:v>alta</x:v>
      </x:c>
      <x:c r="U321" s="60"/>
      <x:c r="V321" s="58" t="str">
        <x:v>Sin dato</x:v>
      </x:c>
      <x:c r="W321" s="64" t="str"/>
      <x:c r="X321" s="62" t="n">
        <x:v>46271.05877362269</x:v>
      </x:c>
      <x:c r="Y321" s="58" t="str">
        <x:v>No es todavía una fuente digital; conservar como pista territorial.</x:v>
      </x:c>
    </x:row>
    <x:row r="322" ht="42" customHeight="1">
      <x:c r="A322" s="9" t="str">
        <x:v>CL-FUE-0321</x:v>
      </x:c>
      <x:c r="B322" s="7" t="str">
        <x:v>Sala de la Cultura y de las Artes Monte Aguila</x:v>
      </x:c>
      <x:c r="C322" s="7" t="str">
        <x:v>Sala de la Cultura y de las Artes Monte Aguila</x:v>
      </x:c>
      <x:c r="D322" s="7" t="str">
        <x:v>Espacio cultural del directorio oficial</x:v>
      </x:c>
      <x:c r="E322" s="7" t="str">
        <x:v>Comunal/local</x:v>
      </x:c>
      <x:c r="F322" s="7" t="str">
        <x:v>Región del Biobío</x:v>
      </x:c>
      <x:c r="G322" s="7" t="str">
        <x:v>Monte Aguila</x:v>
      </x:c>
      <x:c r="H322" s="7" t="str">
        <x:v>Multidisciplinario (por clasificar)</x:v>
      </x:c>
      <x:c r="I322" s="7" t="str">
        <x:v>Canal digital por localizar</x:v>
      </x:c>
      <x:c r="J322" s="10" t="str"/>
      <x:c r="K322" s="10" t="str">
        <x:v>https://ciudadania.cultura.gob.cl/wp-content/uploads/2025/12/Directorio_Espacios-Culturales-2025_RC.pdf#page=223</x:v>
      </x:c>
      <x:c r="L322" s="7" t="str">
        <x:v>Referencia territorial</x:v>
      </x:c>
      <x:c r="M322" s="7" t="str">
        <x:v>No</x:v>
      </x:c>
      <x:c r="N322" s="7" t="str">
        <x:v>Baja</x:v>
      </x:c>
      <x:c r="O322" s="7" t="str">
        <x:v>Investigación manual</x:v>
      </x:c>
      <x:c r="P322" s="8" t="n">
        <x:v>46270.666666666664</x:v>
      </x:c>
      <x:c r="Q322" s="7" t="str">
        <x:v>Dirección OCR: Ahumada 173, Monte Aguila. Ficha PDF p. 223.</x:v>
      </x:c>
      <x:c r="R322" s="58" t="str">
        <x:v>Referencia sin agenda</x:v>
      </x:c>
      <x:c r="S322" s="60" t="n">
        <x:v>0</x:v>
      </x:c>
      <x:c r="T322" s="58" t="str">
        <x:v>alta</x:v>
      </x:c>
      <x:c r="U322" s="60"/>
      <x:c r="V322" s="58" t="str">
        <x:v>Sin dato</x:v>
      </x:c>
      <x:c r="W322" s="64" t="str"/>
      <x:c r="X322" s="62" t="n">
        <x:v>46271.05877362269</x:v>
      </x:c>
      <x:c r="Y322" s="58" t="str">
        <x:v>No es todavía una fuente digital; conservar como pista territorial.</x:v>
      </x:c>
    </x:row>
    <x:row r="323" ht="42" customHeight="1">
      <x:c r="A323" s="9" t="str">
        <x:v>CL-FUE-0322</x:v>
      </x:c>
      <x:c r="B323" s="7" t="str">
        <x:v>Sala de Artes Escénicas</x:v>
      </x:c>
      <x:c r="C323" s="7" t="str">
        <x:v>Sala de Artes Escénicas</x:v>
      </x:c>
      <x:c r="D323" s="7" t="str">
        <x:v>Espacio cultural del directorio oficial</x:v>
      </x:c>
      <x:c r="E323" s="7" t="str">
        <x:v>Comunal/local</x:v>
      </x:c>
      <x:c r="F323" s="7" t="str">
        <x:v>Región del Biobío</x:v>
      </x:c>
      <x:c r="G323" s="7" t="str">
        <x:v>Chiguayante</x:v>
      </x:c>
      <x:c r="H323" s="7" t="str">
        <x:v>Artes escénicas</x:v>
      </x:c>
      <x:c r="I323" s="7" t="str">
        <x:v>Canal digital por localizar</x:v>
      </x:c>
      <x:c r="J323" s="10" t="str"/>
      <x:c r="K323" s="10" t="str">
        <x:v>https://ciudadania.cultura.gob.cl/wp-content/uploads/2025/12/Directorio_Espacios-Culturales-2025_RC.pdf#page=224</x:v>
      </x:c>
      <x:c r="L323" s="7" t="str">
        <x:v>Referencia territorial</x:v>
      </x:c>
      <x:c r="M323" s="7" t="str">
        <x:v>No</x:v>
      </x:c>
      <x:c r="N323" s="7" t="str">
        <x:v>Baja</x:v>
      </x:c>
      <x:c r="O323" s="7" t="str">
        <x:v>Investigación manual</x:v>
      </x:c>
      <x:c r="P323" s="8" t="n">
        <x:v>46270.666666666664</x:v>
      </x:c>
      <x:c r="Q323" s="7" t="str">
        <x:v>Dirección OCR: Orozimbo Barbosa 294, Chiguayante. Ficha PDF p. 224. Posible ficha duplicada o recinto compartido; revisar antes de crear una fuente independiente.</x:v>
      </x:c>
      <x:c r="R323" s="58" t="str">
        <x:v>Referencia sin agenda</x:v>
      </x:c>
      <x:c r="S323" s="60" t="n">
        <x:v>0</x:v>
      </x:c>
      <x:c r="T323" s="58" t="str">
        <x:v>alta</x:v>
      </x:c>
      <x:c r="U323" s="60"/>
      <x:c r="V323" s="58" t="str">
        <x:v>Sin dato</x:v>
      </x:c>
      <x:c r="W323" s="64" t="str"/>
      <x:c r="X323" s="62" t="n">
        <x:v>46271.05877362269</x:v>
      </x:c>
      <x:c r="Y323" s="58" t="str">
        <x:v>No es todavía una fuente digital; conservar como pista territorial.</x:v>
      </x:c>
    </x:row>
    <x:row r="324" ht="42" customHeight="1">
      <x:c r="A324" s="9" t="str">
        <x:v>CL-FUE-0323</x:v>
      </x:c>
      <x:c r="B324" s="7" t="str">
        <x:v>asa de la Cultura</x:v>
      </x:c>
      <x:c r="C324" s="7" t="str">
        <x:v>asa de la Cultura</x:v>
      </x:c>
      <x:c r="D324" s="7" t="str">
        <x:v>Espacio cultural del directorio oficial</x:v>
      </x:c>
      <x:c r="E324" s="7" t="str">
        <x:v>Comunal/local</x:v>
      </x:c>
      <x:c r="F324" s="7" t="str">
        <x:v>Región del Biobío</x:v>
      </x:c>
      <x:c r="G324" s="7" t="str">
        <x:v>Mulchén</x:v>
      </x:c>
      <x:c r="H324" s="7" t="str">
        <x:v>Artesanía; Artes escénicas; Audiovisual; Interculturalidad</x:v>
      </x:c>
      <x:c r="I324" s="7" t="str">
        <x:v>Canal digital por localizar</x:v>
      </x:c>
      <x:c r="J324" s="10" t="str"/>
      <x:c r="K324" s="10" t="str">
        <x:v>https://ciudadania.cultura.gob.cl/wp-content/uploads/2025/12/Directorio_Espacios-Culturales-2025_RC.pdf#page=225</x:v>
      </x:c>
      <x:c r="L324" s="7" t="str">
        <x:v>Referencia territorial</x:v>
      </x:c>
      <x:c r="M324" s="7" t="str">
        <x:v>No</x:v>
      </x:c>
      <x:c r="N324" s="7" t="str">
        <x:v>Baja</x:v>
      </x:c>
      <x:c r="O324" s="7" t="str">
        <x:v>Investigación manual</x:v>
      </x:c>
      <x:c r="P324" s="8" t="n">
        <x:v>46270.666666666664</x:v>
      </x:c>
      <x:c r="Q324" s="7" t="str">
        <x:v>Dirección OCR: Gana 360, Mulchén. Ficha PDF p. 225.</x:v>
      </x:c>
      <x:c r="R324" s="58" t="str">
        <x:v>Referencia sin agenda</x:v>
      </x:c>
      <x:c r="S324" s="60" t="n">
        <x:v>0</x:v>
      </x:c>
      <x:c r="T324" s="58" t="str">
        <x:v>alta</x:v>
      </x:c>
      <x:c r="U324" s="60"/>
      <x:c r="V324" s="58" t="str">
        <x:v>Sin dato</x:v>
      </x:c>
      <x:c r="W324" s="64" t="str"/>
      <x:c r="X324" s="62" t="n">
        <x:v>46271.05877362269</x:v>
      </x:c>
      <x:c r="Y324" s="58" t="str">
        <x:v>No es todavía una fuente digital; conservar como pista territorial.</x:v>
      </x:c>
    </x:row>
    <x:row r="325" ht="42" customHeight="1">
      <x:c r="A325" s="9" t="str">
        <x:v>CL-FUE-0324</x:v>
      </x:c>
      <x:c r="B325" s="7" t="str">
        <x:v>asa de la Itura de Negrete</x:v>
      </x:c>
      <x:c r="C325" s="7" t="str">
        <x:v>asa de la Itura de Negrete</x:v>
      </x:c>
      <x:c r="D325" s="7" t="str">
        <x:v>Espacio cultural del directorio oficial</x:v>
      </x:c>
      <x:c r="E325" s="7" t="str">
        <x:v>Comunal/local</x:v>
      </x:c>
      <x:c r="F325" s="7" t="str">
        <x:v>Región del Biobío</x:v>
      </x:c>
      <x:c r="G325" s="7" t="str">
        <x:v>Negrete</x:v>
      </x:c>
      <x:c r="H325" s="7" t="str">
        <x:v>Artes visuales</x:v>
      </x:c>
      <x:c r="I325" s="7" t="str">
        <x:v>Canal digital por localizar</x:v>
      </x:c>
      <x:c r="J325" s="10" t="str"/>
      <x:c r="K325" s="10" t="str">
        <x:v>https://ciudadania.cultura.gob.cl/wp-content/uploads/2025/12/Directorio_Espacios-Culturales-2025_RC.pdf#page=226</x:v>
      </x:c>
      <x:c r="L325" s="7" t="str">
        <x:v>Referencia territorial</x:v>
      </x:c>
      <x:c r="M325" s="7" t="str">
        <x:v>No</x:v>
      </x:c>
      <x:c r="N325" s="7" t="str">
        <x:v>Baja</x:v>
      </x:c>
      <x:c r="O325" s="7" t="str">
        <x:v>Investigación manual</x:v>
      </x:c>
      <x:c r="P325" s="8" t="n">
        <x:v>46270.666666666664</x:v>
      </x:c>
      <x:c r="Q325" s="7" t="str">
        <x:v>Dirección OCR: Ignacio Carrera 370, Negrete. Ficha PDF p. 226.</x:v>
      </x:c>
      <x:c r="R325" s="58" t="str">
        <x:v>Referencia sin agenda</x:v>
      </x:c>
      <x:c r="S325" s="60" t="n">
        <x:v>0</x:v>
      </x:c>
      <x:c r="T325" s="58" t="str">
        <x:v>alta</x:v>
      </x:c>
      <x:c r="U325" s="60"/>
      <x:c r="V325" s="58" t="str">
        <x:v>Sin dato</x:v>
      </x:c>
      <x:c r="W325" s="64" t="str"/>
      <x:c r="X325" s="62" t="n">
        <x:v>46271.05877362269</x:v>
      </x:c>
      <x:c r="Y325" s="58" t="str">
        <x:v>No es todavía una fuente digital; conservar como pista territorial.</x:v>
      </x:c>
    </x:row>
    <x:row r="326" ht="42" customHeight="1">
      <x:c r="A326" s="9" t="str">
        <x:v>CL-FUE-0325</x:v>
      </x:c>
      <x:c r="B326" s="7" t="str">
        <x:v>Centro Cultural Tomé</x:v>
      </x:c>
      <x:c r="C326" s="7" t="str">
        <x:v>Centro Cultural Tomé</x:v>
      </x:c>
      <x:c r="D326" s="7" t="str">
        <x:v>Espacio cultural del directorio oficial</x:v>
      </x:c>
      <x:c r="E326" s="7" t="str">
        <x:v>Comunal/local</x:v>
      </x:c>
      <x:c r="F326" s="7" t="str">
        <x:v>Región del Biobío</x:v>
      </x:c>
      <x:c r="G326" s="7" t="str">
        <x:v>Tomé</x:v>
      </x:c>
      <x:c r="H326" s="7" t="str">
        <x:v>Multidisciplinario (por clasificar)</x:v>
      </x:c>
      <x:c r="I326" s="7" t="str">
        <x:v>Canal digital por localizar</x:v>
      </x:c>
      <x:c r="J326" s="10" t="str"/>
      <x:c r="K326" s="10" t="str">
        <x:v>https://ciudadania.cultura.gob.cl/wp-content/uploads/2025/12/Directorio_Espacios-Culturales-2025_RC.pdf#page=227</x:v>
      </x:c>
      <x:c r="L326" s="7" t="str">
        <x:v>Referencia territorial</x:v>
      </x:c>
      <x:c r="M326" s="7" t="str">
        <x:v>No</x:v>
      </x:c>
      <x:c r="N326" s="7" t="str">
        <x:v>Baja</x:v>
      </x:c>
      <x:c r="O326" s="7" t="str">
        <x:v>Investigación manual</x:v>
      </x:c>
      <x:c r="P326" s="8" t="n">
        <x:v>46270.666666666664</x:v>
      </x:c>
      <x:c r="Q326" s="7" t="str">
        <x:v>Dirección OCR: Sotomayor 947, Tomé. Ficha PDF p. 227.</x:v>
      </x:c>
      <x:c r="R326" s="58" t="str">
        <x:v>Referencia sin agenda</x:v>
      </x:c>
      <x:c r="S326" s="60" t="n">
        <x:v>0</x:v>
      </x:c>
      <x:c r="T326" s="58" t="str">
        <x:v>alta</x:v>
      </x:c>
      <x:c r="U326" s="60"/>
      <x:c r="V326" s="58" t="str">
        <x:v>Sin dato</x:v>
      </x:c>
      <x:c r="W326" s="64" t="str"/>
      <x:c r="X326" s="62" t="n">
        <x:v>46271.05877362269</x:v>
      </x:c>
      <x:c r="Y326" s="58" t="str">
        <x:v>No es todavía una fuente digital; conservar como pista territorial.</x:v>
      </x:c>
    </x:row>
    <x:row r="327" ht="42" customHeight="1">
      <x:c r="A327" s="9" t="str">
        <x:v>CL-FUE-0326</x:v>
      </x:c>
      <x:c r="B327" s="7" t="str">
        <x:v>Casa de la Cultura y el Arte de Nacimiento</x:v>
      </x:c>
      <x:c r="C327" s="7" t="str">
        <x:v>Casa de la Cultura y el Arte de Nacimiento</x:v>
      </x:c>
      <x:c r="D327" s="7" t="str">
        <x:v>Espacio cultural del directorio oficial</x:v>
      </x:c>
      <x:c r="E327" s="7" t="str">
        <x:v>Comunal/local</x:v>
      </x:c>
      <x:c r="F327" s="7" t="str">
        <x:v>Región del Biobío</x:v>
      </x:c>
      <x:c r="G327" s="7" t="str">
        <x:v>Nacimiento</x:v>
      </x:c>
      <x:c r="H327" s="7" t="str">
        <x:v>Multidisciplinario (por clasificar)</x:v>
      </x:c>
      <x:c r="I327" s="7" t="str">
        <x:v>Canal digital por localizar</x:v>
      </x:c>
      <x:c r="J327" s="10" t="str"/>
      <x:c r="K327" s="10" t="str">
        <x:v>https://ciudadania.cultura.gob.cl/wp-content/uploads/2025/12/Directorio_Espacios-Culturales-2025_RC.pdf#page=228</x:v>
      </x:c>
      <x:c r="L327" s="7" t="str">
        <x:v>Referencia territorial</x:v>
      </x:c>
      <x:c r="M327" s="7" t="str">
        <x:v>No</x:v>
      </x:c>
      <x:c r="N327" s="7" t="str">
        <x:v>Baja</x:v>
      </x:c>
      <x:c r="O327" s="7" t="str">
        <x:v>Investigación manual</x:v>
      </x:c>
      <x:c r="P327" s="8" t="n">
        <x:v>46270.666666666664</x:v>
      </x:c>
      <x:c r="Q327" s="7" t="str">
        <x:v>Dirección OCR: Pablo Neruda 1289, Nacimiento. Ficha PDF p. 228.</x:v>
      </x:c>
      <x:c r="R327" s="58" t="str">
        <x:v>Referencia sin agenda</x:v>
      </x:c>
      <x:c r="S327" s="60" t="n">
        <x:v>0</x:v>
      </x:c>
      <x:c r="T327" s="58" t="str">
        <x:v>alta</x:v>
      </x:c>
      <x:c r="U327" s="60"/>
      <x:c r="V327" s="58" t="str">
        <x:v>Sin dato</x:v>
      </x:c>
      <x:c r="W327" s="64" t="str"/>
      <x:c r="X327" s="62" t="n">
        <x:v>46271.05877363426</x:v>
      </x:c>
      <x:c r="Y327" s="58" t="str">
        <x:v>No es todavía una fuente digital; conservar como pista territorial.</x:v>
      </x:c>
    </x:row>
    <x:row r="328" ht="42" customHeight="1">
      <x:c r="A328" s="9" t="str">
        <x:v>CL-FUE-0327</x:v>
      </x:c>
      <x:c r="B328" s="7" t="str">
        <x:v>Casa de la Cultura San Pedro de la Paz</x:v>
      </x:c>
      <x:c r="C328" s="7" t="str">
        <x:v>Casa de la Cultura San Pedro de la Paz</x:v>
      </x:c>
      <x:c r="D328" s="7" t="str">
        <x:v>Espacio cultural del directorio oficial</x:v>
      </x:c>
      <x:c r="E328" s="7" t="str">
        <x:v>Comunal/local</x:v>
      </x:c>
      <x:c r="F328" s="7" t="str">
        <x:v>Región del Biobío</x:v>
      </x:c>
      <x:c r="G328" s="7" t="str">
        <x:v>San Pedro de la Paz</x:v>
      </x:c>
      <x:c r="H328" s="7" t="str">
        <x:v>Multidisciplinario (por clasificar)</x:v>
      </x:c>
      <x:c r="I328" s="7" t="str">
        <x:v>Canal digital por localizar</x:v>
      </x:c>
      <x:c r="J328" s="10" t="str"/>
      <x:c r="K328" s="10" t="str">
        <x:v>https://ciudadania.cultura.gob.cl/wp-content/uploads/2025/12/Directorio_Espacios-Culturales-2025_RC.pdf#page=229</x:v>
      </x:c>
      <x:c r="L328" s="7" t="str">
        <x:v>Referencia territorial</x:v>
      </x:c>
      <x:c r="M328" s="7" t="str">
        <x:v>No</x:v>
      </x:c>
      <x:c r="N328" s="7" t="str">
        <x:v>Baja</x:v>
      </x:c>
      <x:c r="O328" s="7" t="str">
        <x:v>Investigación manual</x:v>
      </x:c>
      <x:c r="P328" s="8" t="n">
        <x:v>46270.666666666664</x:v>
      </x:c>
      <x:c r="Q328" s="7" t="str">
        <x:v>Dirección OCR: Los Fresnos 1640, San Pedro de la Paz. Ficha PDF p. 229.</x:v>
      </x:c>
      <x:c r="R328" s="58" t="str">
        <x:v>Referencia sin agenda</x:v>
      </x:c>
      <x:c r="S328" s="60" t="n">
        <x:v>0</x:v>
      </x:c>
      <x:c r="T328" s="58" t="str">
        <x:v>alta</x:v>
      </x:c>
      <x:c r="U328" s="60"/>
      <x:c r="V328" s="58" t="str">
        <x:v>Sin dato</x:v>
      </x:c>
      <x:c r="W328" s="64" t="str"/>
      <x:c r="X328" s="62" t="n">
        <x:v>46271.05877363426</x:v>
      </x:c>
      <x:c r="Y328" s="58" t="str">
        <x:v>No es todavía una fuente digital; conservar como pista territorial.</x:v>
      </x:c>
    </x:row>
    <x:row r="329" ht="42" customHeight="1">
      <x:c r="A329" s="9" t="str">
        <x:v>CL-FUE-0328</x:v>
      </x:c>
      <x:c r="B329" s="7" t="str">
        <x:v>Centro de la Cultura y las Artes</x:v>
      </x:c>
      <x:c r="C329" s="7" t="str">
        <x:v>Centro de la Cultura y las Artes</x:v>
      </x:c>
      <x:c r="D329" s="7" t="str">
        <x:v>Espacio cultural del directorio oficial</x:v>
      </x:c>
      <x:c r="E329" s="7" t="str">
        <x:v>Comunal/local</x:v>
      </x:c>
      <x:c r="F329" s="7" t="str">
        <x:v>Región del Biobío</x:v>
      </x:c>
      <x:c r="G329" s="7" t="str">
        <x:v>Lebu</x:v>
      </x:c>
      <x:c r="H329" s="7" t="str">
        <x:v>Multidisciplinario (por clasificar)</x:v>
      </x:c>
      <x:c r="I329" s="7" t="str">
        <x:v>Canal digital por localizar</x:v>
      </x:c>
      <x:c r="J329" s="10" t="str"/>
      <x:c r="K329" s="10" t="str">
        <x:v>https://ciudadania.cultura.gob.cl/wp-content/uploads/2025/12/Directorio_Espacios-Culturales-2025_RC.pdf#page=230</x:v>
      </x:c>
      <x:c r="L329" s="7" t="str">
        <x:v>Referencia territorial</x:v>
      </x:c>
      <x:c r="M329" s="7" t="str">
        <x:v>No</x:v>
      </x:c>
      <x:c r="N329" s="7" t="str">
        <x:v>Baja</x:v>
      </x:c>
      <x:c r="O329" s="7" t="str">
        <x:v>Investigación manual</x:v>
      </x:c>
      <x:c r="P329" s="8" t="n">
        <x:v>46270.666666666664</x:v>
      </x:c>
      <x:c r="Q329" s="7" t="str">
        <x:v>Dirección OCR: Pérez 541, Lebu. Ficha PDF p. 230.</x:v>
      </x:c>
      <x:c r="R329" s="58" t="str">
        <x:v>Referencia sin agenda</x:v>
      </x:c>
      <x:c r="S329" s="60" t="n">
        <x:v>0</x:v>
      </x:c>
      <x:c r="T329" s="58" t="str">
        <x:v>alta</x:v>
      </x:c>
      <x:c r="U329" s="60"/>
      <x:c r="V329" s="58" t="str">
        <x:v>Sin dato</x:v>
      </x:c>
      <x:c r="W329" s="64" t="str"/>
      <x:c r="X329" s="62" t="n">
        <x:v>46271.05877363426</x:v>
      </x:c>
      <x:c r="Y329" s="58" t="str">
        <x:v>No es todavía una fuente digital; conservar como pista territorial.</x:v>
      </x:c>
    </x:row>
    <x:row r="330" ht="42" customHeight="1">
      <x:c r="A330" s="9" t="str">
        <x:v>CL-FUE-0329</x:v>
      </x:c>
      <x:c r="B330" s="7" t="str">
        <x:v>Espacio cultural (ficha 231)</x:v>
      </x:c>
      <x:c r="C330" s="7" t="str">
        <x:v>Espacio cultural (ficha 231)</x:v>
      </x:c>
      <x:c r="D330" s="7" t="str">
        <x:v>Espacio cultural del directorio oficial</x:v>
      </x:c>
      <x:c r="E330" s="7" t="str">
        <x:v>Comunal/local</x:v>
      </x:c>
      <x:c r="F330" s="7" t="str">
        <x:v>Región del Biobío</x:v>
      </x:c>
      <x:c r="G330" s="7" t="str">
        <x:v>Los Angeles</x:v>
      </x:c>
      <x:c r="H330" s="7" t="str">
        <x:v>Multidisciplinario (por clasificar)</x:v>
      </x:c>
      <x:c r="I330" s="7" t="str">
        <x:v>Canal digital por localizar</x:v>
      </x:c>
      <x:c r="J330" s="10" t="str"/>
      <x:c r="K330" s="10" t="str">
        <x:v>https://ciudadania.cultura.gob.cl/wp-content/uploads/2025/12/Directorio_Espacios-Culturales-2025_RC.pdf#page=231</x:v>
      </x:c>
      <x:c r="L330" s="7" t="str">
        <x:v>Referencia territorial</x:v>
      </x:c>
      <x:c r="M330" s="7" t="str">
        <x:v>No</x:v>
      </x:c>
      <x:c r="N330" s="7" t="str">
        <x:v>Baja</x:v>
      </x:c>
      <x:c r="O330" s="7" t="str">
        <x:v>Investigación manual</x:v>
      </x:c>
      <x:c r="P330" s="8" t="n">
        <x:v>46270.666666666664</x:v>
      </x:c>
      <x:c r="Q330" s="7" t="str">
        <x:v>Dirección OCR: Colo Colo 484, Los Angeles. Ficha PDF p. 231.</x:v>
      </x:c>
      <x:c r="R330" s="58" t="str">
        <x:v>Referencia sin agenda</x:v>
      </x:c>
      <x:c r="S330" s="60" t="n">
        <x:v>0</x:v>
      </x:c>
      <x:c r="T330" s="58" t="str">
        <x:v>alta</x:v>
      </x:c>
      <x:c r="U330" s="60"/>
      <x:c r="V330" s="58" t="str">
        <x:v>Sin dato</x:v>
      </x:c>
      <x:c r="W330" s="64" t="str"/>
      <x:c r="X330" s="62" t="n">
        <x:v>46271.05877363426</x:v>
      </x:c>
      <x:c r="Y330" s="58" t="str">
        <x:v>No es todavía una fuente digital; conservar como pista territorial.</x:v>
      </x:c>
    </x:row>
    <x:row r="331" ht="42" customHeight="1">
      <x:c r="A331" s="9" t="str">
        <x:v>CL-FUE-0330</x:v>
      </x:c>
      <x:c r="B331" s="7" t="str">
        <x:v>Galeria Municipal de Arte</x:v>
      </x:c>
      <x:c r="C331" s="7" t="str">
        <x:v>Galeria Municipal de Arte</x:v>
      </x:c>
      <x:c r="D331" s="7" t="str">
        <x:v>Espacio cultural del directorio oficial</x:v>
      </x:c>
      <x:c r="E331" s="7" t="str">
        <x:v>Comunal/local</x:v>
      </x:c>
      <x:c r="F331" s="7" t="str">
        <x:v>Región de La Araucanía</x:v>
      </x:c>
      <x:c r="G331" s="7" t="str">
        <x:v>Temuco</x:v>
      </x:c>
      <x:c r="H331" s="7" t="str">
        <x:v>Multidisciplinario (por clasificar)</x:v>
      </x:c>
      <x:c r="I331" s="7" t="str">
        <x:v>Canal digital por localizar</x:v>
      </x:c>
      <x:c r="J331" s="10" t="str"/>
      <x:c r="K331" s="10" t="str">
        <x:v>https://ciudadania.cultura.gob.cl/wp-content/uploads/2025/12/Directorio_Espacios-Culturales-2025_RC.pdf#page=232</x:v>
      </x:c>
      <x:c r="L331" s="7" t="str">
        <x:v>Referencia territorial</x:v>
      </x:c>
      <x:c r="M331" s="7" t="str">
        <x:v>No</x:v>
      </x:c>
      <x:c r="N331" s="7" t="str">
        <x:v>Baja</x:v>
      </x:c>
      <x:c r="O331" s="7" t="str">
        <x:v>Investigación manual</x:v>
      </x:c>
      <x:c r="P331" s="8" t="n">
        <x:v>46270.666666666664</x:v>
      </x:c>
      <x:c r="Q331" s="7" t="str">
        <x:v>Dirección OCR: Plaza Anibal Pinto s/n, Temuco. Ficha PDF p. 232.</x:v>
      </x:c>
      <x:c r="R331" s="58" t="str">
        <x:v>Referencia sin agenda</x:v>
      </x:c>
      <x:c r="S331" s="60" t="n">
        <x:v>0</x:v>
      </x:c>
      <x:c r="T331" s="58" t="str">
        <x:v>alta</x:v>
      </x:c>
      <x:c r="U331" s="60"/>
      <x:c r="V331" s="58" t="str">
        <x:v>Sin dato</x:v>
      </x:c>
      <x:c r="W331" s="64" t="str"/>
      <x:c r="X331" s="62" t="n">
        <x:v>46271.05877363426</x:v>
      </x:c>
      <x:c r="Y331" s="58" t="str">
        <x:v>No es todavía una fuente digital; conservar como pista territorial.</x:v>
      </x:c>
    </x:row>
    <x:row r="332" ht="42" customHeight="1">
      <x:c r="A332" s="9" t="str">
        <x:v>CL-FUE-0331</x:v>
      </x:c>
      <x:c r="B332" s="7" t="str">
        <x:v>Casa de la Cultura de Toltén</x:v>
      </x:c>
      <x:c r="C332" s="7" t="str">
        <x:v>Casa de la Cultura de Toltén</x:v>
      </x:c>
      <x:c r="D332" s="7" t="str">
        <x:v>Espacio cultural del directorio oficial</x:v>
      </x:c>
      <x:c r="E332" s="7" t="str">
        <x:v>Comunal/local</x:v>
      </x:c>
      <x:c r="F332" s="7" t="str">
        <x:v>Región de La Araucanía</x:v>
      </x:c>
      <x:c r="G332" s="7" t="str">
        <x:v>Nueva Toltén</x:v>
      </x:c>
      <x:c r="H332" s="7" t="str">
        <x:v>Artesanía; Artes escénicas; Audiovisual; Interculturalidad</x:v>
      </x:c>
      <x:c r="I332" s="7" t="str">
        <x:v>Canal digital por localizar</x:v>
      </x:c>
      <x:c r="J332" s="10" t="str"/>
      <x:c r="K332" s="10" t="str">
        <x:v>https://ciudadania.cultura.gob.cl/wp-content/uploads/2025/12/Directorio_Espacios-Culturales-2025_RC.pdf#page=233</x:v>
      </x:c>
      <x:c r="L332" s="7" t="str">
        <x:v>Referencia territorial</x:v>
      </x:c>
      <x:c r="M332" s="7" t="str">
        <x:v>No</x:v>
      </x:c>
      <x:c r="N332" s="7" t="str">
        <x:v>Baja</x:v>
      </x:c>
      <x:c r="O332" s="7" t="str">
        <x:v>Investigación manual</x:v>
      </x:c>
      <x:c r="P332" s="8" t="n">
        <x:v>46270.666666666664</x:v>
      </x:c>
      <x:c r="Q332" s="7" t="str">
        <x:v>Dirección OCR: Los Copihues 595, Nueva Toltén. Ficha PDF p. 233.</x:v>
      </x:c>
      <x:c r="R332" s="58" t="str">
        <x:v>Referencia sin agenda</x:v>
      </x:c>
      <x:c r="S332" s="60" t="n">
        <x:v>0</x:v>
      </x:c>
      <x:c r="T332" s="58" t="str">
        <x:v>alta</x:v>
      </x:c>
      <x:c r="U332" s="60"/>
      <x:c r="V332" s="58" t="str">
        <x:v>Sin dato</x:v>
      </x:c>
      <x:c r="W332" s="64" t="str"/>
      <x:c r="X332" s="62" t="n">
        <x:v>46271.05877363426</x:v>
      </x:c>
      <x:c r="Y332" s="58" t="str">
        <x:v>No es todavía una fuente digital; conservar como pista territorial.</x:v>
      </x:c>
    </x:row>
    <x:row r="333" ht="42" customHeight="1">
      <x:c r="A333" s="9" t="str">
        <x:v>CL-FUE-0332</x:v>
      </x:c>
      <x:c r="B333" s="7" t="str">
        <x:v>Punto de Cultura Comunitaria</x:v>
      </x:c>
      <x:c r="C333" s="7" t="str">
        <x:v>Punto de Cultura Comunitaria</x:v>
      </x:c>
      <x:c r="D333" s="7" t="str">
        <x:v>Espacio cultural del directorio oficial</x:v>
      </x:c>
      <x:c r="E333" s="7" t="str">
        <x:v>Comunal/local</x:v>
      </x:c>
      <x:c r="F333" s="7" t="str">
        <x:v>Región de La Araucanía</x:v>
      </x:c>
      <x:c r="G333" s="7" t="str">
        <x:v>Curarrehue</x:v>
      </x:c>
      <x:c r="H333" s="7" t="str">
        <x:v>Educación artística; Cultura comunitaria</x:v>
      </x:c>
      <x:c r="I333" s="7" t="str">
        <x:v>Canal digital por localizar</x:v>
      </x:c>
      <x:c r="J333" s="10" t="str"/>
      <x:c r="K333" s="10" t="str">
        <x:v>https://ciudadania.cultura.gob.cl/wp-content/uploads/2025/12/Directorio_Espacios-Culturales-2025_RC.pdf#page=234</x:v>
      </x:c>
      <x:c r="L333" s="7" t="str">
        <x:v>Referencia territorial</x:v>
      </x:c>
      <x:c r="M333" s="7" t="str">
        <x:v>No</x:v>
      </x:c>
      <x:c r="N333" s="7" t="str">
        <x:v>Baja</x:v>
      </x:c>
      <x:c r="O333" s="7" t="str">
        <x:v>Investigación manual</x:v>
      </x:c>
      <x:c r="P333" s="8" t="n">
        <x:v>46270.666666666664</x:v>
      </x:c>
      <x:c r="Q333" s="7" t="str">
        <x:v>Dirección OCR: Francisco Valdés 112, Curarrehue. Ficha PDF p. 234.</x:v>
      </x:c>
      <x:c r="R333" s="58" t="str">
        <x:v>Referencia sin agenda</x:v>
      </x:c>
      <x:c r="S333" s="60" t="n">
        <x:v>0</x:v>
      </x:c>
      <x:c r="T333" s="58" t="str">
        <x:v>alta</x:v>
      </x:c>
      <x:c r="U333" s="60"/>
      <x:c r="V333" s="58" t="str">
        <x:v>Sin dato</x:v>
      </x:c>
      <x:c r="W333" s="64" t="str"/>
      <x:c r="X333" s="62" t="n">
        <x:v>46271.05877363426</x:v>
      </x:c>
      <x:c r="Y333" s="58" t="str">
        <x:v>No es todavía una fuente digital; conservar como pista territorial.</x:v>
      </x:c>
    </x:row>
    <x:row r="334" ht="42" customHeight="1">
      <x:c r="A334" s="9" t="str">
        <x:v>CL-FUE-0333</x:v>
      </x:c>
      <x:c r="B334" s="7" t="str">
        <x:v>Museo Historico de Melipeuco</x:v>
      </x:c>
      <x:c r="C334" s="7" t="str">
        <x:v>Museo Historico de Melipeuco</x:v>
      </x:c>
      <x:c r="D334" s="7" t="str">
        <x:v>Espacio cultural del directorio oficial</x:v>
      </x:c>
      <x:c r="E334" s="7" t="str">
        <x:v>Comunal/local</x:v>
      </x:c>
      <x:c r="F334" s="7" t="str">
        <x:v>Región de La Araucanía</x:v>
      </x:c>
      <x:c r="G334" s="7" t="str">
        <x:v>Melipeuco</x:v>
      </x:c>
      <x:c r="H334" s="7" t="str">
        <x:v>Memoria y DD.HH.</x:v>
      </x:c>
      <x:c r="I334" s="7" t="str">
        <x:v>Canal digital por localizar</x:v>
      </x:c>
      <x:c r="J334" s="10" t="str"/>
      <x:c r="K334" s="10" t="str">
        <x:v>https://ciudadania.cultura.gob.cl/wp-content/uploads/2025/12/Directorio_Espacios-Culturales-2025_RC.pdf#page=235</x:v>
      </x:c>
      <x:c r="L334" s="7" t="str">
        <x:v>Referencia territorial</x:v>
      </x:c>
      <x:c r="M334" s="7" t="str">
        <x:v>No</x:v>
      </x:c>
      <x:c r="N334" s="7" t="str">
        <x:v>Baja</x:v>
      </x:c>
      <x:c r="O334" s="7" t="str">
        <x:v>Investigación manual</x:v>
      </x:c>
      <x:c r="P334" s="8" t="n">
        <x:v>46270.666666666664</x:v>
      </x:c>
      <x:c r="Q334" s="7" t="str">
        <x:v>Dirección OCR: Pedro Aguirre Cerda 0200, Melipeuco. Ficha PDF p. 235.</x:v>
      </x:c>
      <x:c r="R334" s="58" t="str">
        <x:v>Referencia sin agenda</x:v>
      </x:c>
      <x:c r="S334" s="60" t="n">
        <x:v>0</x:v>
      </x:c>
      <x:c r="T334" s="58" t="str">
        <x:v>alta</x:v>
      </x:c>
      <x:c r="U334" s="60"/>
      <x:c r="V334" s="58" t="str">
        <x:v>Sin dato</x:v>
      </x:c>
      <x:c r="W334" s="64" t="str"/>
      <x:c r="X334" s="62" t="n">
        <x:v>46271.05877363426</x:v>
      </x:c>
      <x:c r="Y334" s="58" t="str">
        <x:v>No es todavía una fuente digital; conservar como pista territorial.</x:v>
      </x:c>
    </x:row>
    <x:row r="335" ht="42" customHeight="1">
      <x:c r="A335" s="9" t="str">
        <x:v>CL-FUE-0334</x:v>
      </x:c>
      <x:c r="B335" s="7" t="str">
        <x:v>Espacio cultural (ficha 236)</x:v>
      </x:c>
      <x:c r="C335" s="7" t="str">
        <x:v>Espacio cultural (ficha 236)</x:v>
      </x:c>
      <x:c r="D335" s="7" t="str">
        <x:v>Espacio cultural del directorio oficial</x:v>
      </x:c>
      <x:c r="E335" s="7" t="str">
        <x:v>Comunal/local</x:v>
      </x:c>
      <x:c r="F335" s="7" t="str">
        <x:v>Región de La Araucanía</x:v>
      </x:c>
      <x:c r="G335" s="7" t="str">
        <x:v>Curarrehue</x:v>
      </x:c>
      <x:c r="H335" s="7" t="str">
        <x:v>Danza; Patrimonio</x:v>
      </x:c>
      <x:c r="I335" s="7" t="str">
        <x:v>Canal digital por localizar</x:v>
      </x:c>
      <x:c r="J335" s="10" t="str"/>
      <x:c r="K335" s="10" t="str">
        <x:v>https://ciudadania.cultura.gob.cl/wp-content/uploads/2025/12/Directorio_Espacios-Culturales-2025_RC.pdf#page=236</x:v>
      </x:c>
      <x:c r="L335" s="7" t="str">
        <x:v>Referencia territorial</x:v>
      </x:c>
      <x:c r="M335" s="7" t="str">
        <x:v>No</x:v>
      </x:c>
      <x:c r="N335" s="7" t="str">
        <x:v>Baja</x:v>
      </x:c>
      <x:c r="O335" s="7" t="str">
        <x:v>Investigación manual</x:v>
      </x:c>
      <x:c r="P335" s="8" t="n">
        <x:v>46270.666666666664</x:v>
      </x:c>
      <x:c r="Q335" s="7" t="str">
        <x:v>Dirección OCR: Héroes de la Concepcién 21, Curarrehue. Ficha PDF p. 236.</x:v>
      </x:c>
      <x:c r="R335" s="58" t="str">
        <x:v>Referencia sin agenda</x:v>
      </x:c>
      <x:c r="S335" s="60" t="n">
        <x:v>0</x:v>
      </x:c>
      <x:c r="T335" s="58" t="str">
        <x:v>alta</x:v>
      </x:c>
      <x:c r="U335" s="60"/>
      <x:c r="V335" s="58" t="str">
        <x:v>Sin dato</x:v>
      </x:c>
      <x:c r="W335" s="64" t="str"/>
      <x:c r="X335" s="62" t="n">
        <x:v>46271.05877363426</x:v>
      </x:c>
      <x:c r="Y335" s="58" t="str">
        <x:v>No es todavía una fuente digital; conservar como pista territorial.</x:v>
      </x:c>
    </x:row>
    <x:row r="336" ht="42" customHeight="1">
      <x:c r="A336" s="9" t="str">
        <x:v>CL-FUE-0335</x:v>
      </x:c>
      <x:c r="B336" s="7" t="str">
        <x:v>Bibliotecas Publicas Municipales</x:v>
      </x:c>
      <x:c r="C336" s="7" t="str">
        <x:v>Bibliotecas Publicas Municipales</x:v>
      </x:c>
      <x:c r="D336" s="7" t="str">
        <x:v>Espacio cultural del directorio oficial</x:v>
      </x:c>
      <x:c r="E336" s="7" t="str">
        <x:v>Comunal/local</x:v>
      </x:c>
      <x:c r="F336" s="7" t="str">
        <x:v>Región de La Araucanía</x:v>
      </x:c>
      <x:c r="G336" s="7" t="str">
        <x:v>Teodoro Schmidt</x:v>
      </x:c>
      <x:c r="H336" s="7" t="str">
        <x:v>Multidisciplinario (por clasificar)</x:v>
      </x:c>
      <x:c r="I336" s="7" t="str">
        <x:v>Canal digital por localizar</x:v>
      </x:c>
      <x:c r="J336" s="10" t="str"/>
      <x:c r="K336" s="10" t="str">
        <x:v>https://ciudadania.cultura.gob.cl/wp-content/uploads/2025/12/Directorio_Espacios-Culturales-2025_RC.pdf#page=237</x:v>
      </x:c>
      <x:c r="L336" s="7" t="str">
        <x:v>Referencia territorial</x:v>
      </x:c>
      <x:c r="M336" s="7" t="str">
        <x:v>No</x:v>
      </x:c>
      <x:c r="N336" s="7" t="str">
        <x:v>Baja</x:v>
      </x:c>
      <x:c r="O336" s="7" t="str">
        <x:v>Investigación manual</x:v>
      </x:c>
      <x:c r="P336" s="8" t="n">
        <x:v>46270.666666666664</x:v>
      </x:c>
      <x:c r="Q336" s="7" t="str">
        <x:v>Dirección OCR: 2 Sur s/n, Barros Arana, Teodoro Schmidt. Ficha PDF p. 237.</x:v>
      </x:c>
      <x:c r="R336" s="58" t="str">
        <x:v>Referencia sin agenda</x:v>
      </x:c>
      <x:c r="S336" s="60" t="n">
        <x:v>0</x:v>
      </x:c>
      <x:c r="T336" s="58" t="str">
        <x:v>alta</x:v>
      </x:c>
      <x:c r="U336" s="60"/>
      <x:c r="V336" s="58" t="str">
        <x:v>Sin dato</x:v>
      </x:c>
      <x:c r="W336" s="64" t="str"/>
      <x:c r="X336" s="62" t="n">
        <x:v>46271.05877363426</x:v>
      </x:c>
      <x:c r="Y336" s="58" t="str">
        <x:v>No es todavía una fuente digital; conservar como pista territorial.</x:v>
      </x:c>
    </x:row>
    <x:row r="337" ht="42" customHeight="1">
      <x:c r="A337" s="9" t="str">
        <x:v>CL-FUE-0336</x:v>
      </x:c>
      <x:c r="B337" s="7" t="str">
        <x:v>Bibliotecas Publicas Municipales</x:v>
      </x:c>
      <x:c r="C337" s="7" t="str">
        <x:v>Bibliotecas Publicas Municipales</x:v>
      </x:c>
      <x:c r="D337" s="7" t="str">
        <x:v>Espacio cultural del directorio oficial</x:v>
      </x:c>
      <x:c r="E337" s="7" t="str">
        <x:v>Comunal/local</x:v>
      </x:c>
      <x:c r="F337" s="7" t="str">
        <x:v>Región de La Araucanía</x:v>
      </x:c>
      <x:c r="G337" s="7" t="str"/>
      <x:c r="H337" s="7" t="str">
        <x:v>Multidisciplinario (por clasificar)</x:v>
      </x:c>
      <x:c r="I337" s="7" t="str">
        <x:v>Canal digital por localizar</x:v>
      </x:c>
      <x:c r="J337" s="10" t="str"/>
      <x:c r="K337" s="10" t="str">
        <x:v>https://ciudadania.cultura.gob.cl/wp-content/uploads/2025/12/Directorio_Espacios-Culturales-2025_RC.pdf#page=238</x:v>
      </x:c>
      <x:c r="L337" s="7" t="str">
        <x:v>Referencia territorial</x:v>
      </x:c>
      <x:c r="M337" s="7" t="str">
        <x:v>No</x:v>
      </x:c>
      <x:c r="N337" s="7" t="str">
        <x:v>Baja</x:v>
      </x:c>
      <x:c r="O337" s="7" t="str">
        <x:v>Investigación manual</x:v>
      </x:c>
      <x:c r="P337" s="8" t="n">
        <x:v>46270.666666666664</x:v>
      </x:c>
      <x:c r="Q337" s="7" t="str">
        <x:v>Dirección OCR: no reconocida. Ficha PDF p. 238.</x:v>
      </x:c>
      <x:c r="R337" s="58" t="str">
        <x:v>Referencia sin agenda</x:v>
      </x:c>
      <x:c r="S337" s="60" t="n">
        <x:v>0</x:v>
      </x:c>
      <x:c r="T337" s="58" t="str">
        <x:v>alta</x:v>
      </x:c>
      <x:c r="U337" s="60"/>
      <x:c r="V337" s="58" t="str">
        <x:v>Sin dato</x:v>
      </x:c>
      <x:c r="W337" s="64" t="str"/>
      <x:c r="X337" s="62" t="n">
        <x:v>46271.05877363426</x:v>
      </x:c>
      <x:c r="Y337" s="58" t="str">
        <x:v>No es todavía una fuente digital; conservar como pista territorial.</x:v>
      </x:c>
    </x:row>
    <x:row r="338" ht="42" customHeight="1">
      <x:c r="A338" s="9" t="str">
        <x:v>CL-FUE-0337</x:v>
      </x:c>
      <x:c r="B338" s="7" t="str">
        <x:v>Bibliotecas Publicas Municipales</x:v>
      </x:c>
      <x:c r="C338" s="7" t="str">
        <x:v>Bibliotecas Publicas Municipales</x:v>
      </x:c>
      <x:c r="D338" s="7" t="str">
        <x:v>Espacio cultural del directorio oficial</x:v>
      </x:c>
      <x:c r="E338" s="7" t="str">
        <x:v>Comunal/local</x:v>
      </x:c>
      <x:c r="F338" s="7" t="str">
        <x:v>Región de La Araucanía</x:v>
      </x:c>
      <x:c r="G338" s="7" t="str">
        <x:v>Teodoro Schmidt</x:v>
      </x:c>
      <x:c r="H338" s="7" t="str">
        <x:v>Multidisciplinario (por clasificar)</x:v>
      </x:c>
      <x:c r="I338" s="7" t="str">
        <x:v>Canal digital por localizar</x:v>
      </x:c>
      <x:c r="J338" s="10" t="str"/>
      <x:c r="K338" s="10" t="str">
        <x:v>https://ciudadania.cultura.gob.cl/wp-content/uploads/2025/12/Directorio_Espacios-Culturales-2025_RC.pdf#page=239</x:v>
      </x:c>
      <x:c r="L338" s="7" t="str">
        <x:v>Referencia territorial</x:v>
      </x:c>
      <x:c r="M338" s="7" t="str">
        <x:v>No</x:v>
      </x:c>
      <x:c r="N338" s="7" t="str">
        <x:v>Baja</x:v>
      </x:c>
      <x:c r="O338" s="7" t="str">
        <x:v>Investigación manual</x:v>
      </x:c>
      <x:c r="P338" s="8" t="n">
        <x:v>46270.666666666664</x:v>
      </x:c>
      <x:c r="Q338" s="7" t="str">
        <x:v>Dirección OCR: O'Higgins s/n, Hualpin, Teodoro Schmidt. Ficha PDF p. 239.</x:v>
      </x:c>
      <x:c r="R338" s="58" t="str">
        <x:v>Referencia sin agenda</x:v>
      </x:c>
      <x:c r="S338" s="60" t="n">
        <x:v>0</x:v>
      </x:c>
      <x:c r="T338" s="58" t="str">
        <x:v>alta</x:v>
      </x:c>
      <x:c r="U338" s="60"/>
      <x:c r="V338" s="58" t="str">
        <x:v>Sin dato</x:v>
      </x:c>
      <x:c r="W338" s="64" t="str"/>
      <x:c r="X338" s="62" t="n">
        <x:v>46271.05877363426</x:v>
      </x:c>
      <x:c r="Y338" s="58" t="str">
        <x:v>No es todavía una fuente digital; conservar como pista territorial.</x:v>
      </x:c>
    </x:row>
    <x:row r="339" ht="42" customHeight="1">
      <x:c r="A339" s="9" t="str">
        <x:v>CL-FUE-0338</x:v>
      </x:c>
      <x:c r="B339" s="7" t="str">
        <x:v>Museo Nacional Ferroviario Pablo Neruda</x:v>
      </x:c>
      <x:c r="C339" s="7" t="str">
        <x:v>Museo Nacional Ferroviario Pablo Neruda</x:v>
      </x:c>
      <x:c r="D339" s="7" t="str">
        <x:v>Espacio cultural del directorio oficial</x:v>
      </x:c>
      <x:c r="E339" s="7" t="str">
        <x:v>Comunal/local</x:v>
      </x:c>
      <x:c r="F339" s="7" t="str">
        <x:v>Región de La Araucanía</x:v>
      </x:c>
      <x:c r="G339" s="7" t="str">
        <x:v>Temuco</x:v>
      </x:c>
      <x:c r="H339" s="7" t="str">
        <x:v>Artes visuales</x:v>
      </x:c>
      <x:c r="I339" s="7" t="str">
        <x:v>Canal digital por localizar</x:v>
      </x:c>
      <x:c r="J339" s="10" t="str"/>
      <x:c r="K339" s="10" t="str">
        <x:v>https://ciudadania.cultura.gob.cl/wp-content/uploads/2025/12/Directorio_Espacios-Culturales-2025_RC.pdf#page=240</x:v>
      </x:c>
      <x:c r="L339" s="7" t="str">
        <x:v>Referencia territorial</x:v>
      </x:c>
      <x:c r="M339" s="7" t="str">
        <x:v>No</x:v>
      </x:c>
      <x:c r="N339" s="7" t="str">
        <x:v>Baja</x:v>
      </x:c>
      <x:c r="O339" s="7" t="str">
        <x:v>Investigación manual</x:v>
      </x:c>
      <x:c r="P339" s="8" t="n">
        <x:v>46270.666666666664</x:v>
      </x:c>
      <x:c r="Q339" s="7" t="str">
        <x:v>Dirección OCR: Barros Arana 0565, Temuco. Ficha PDF p. 240.</x:v>
      </x:c>
      <x:c r="R339" s="58" t="str">
        <x:v>Referencia sin agenda</x:v>
      </x:c>
      <x:c r="S339" s="60" t="n">
        <x:v>0</x:v>
      </x:c>
      <x:c r="T339" s="58" t="str">
        <x:v>alta</x:v>
      </x:c>
      <x:c r="U339" s="60"/>
      <x:c r="V339" s="58" t="str">
        <x:v>Sin dato</x:v>
      </x:c>
      <x:c r="W339" s="64" t="str"/>
      <x:c r="X339" s="62" t="n">
        <x:v>46271.05877363426</x:v>
      </x:c>
      <x:c r="Y339" s="58" t="str">
        <x:v>No es todavía una fuente digital; conservar como pista territorial.</x:v>
      </x:c>
    </x:row>
    <x:row r="340" ht="42" customHeight="1">
      <x:c r="A340" s="9" t="str">
        <x:v>CL-FUE-0339</x:v>
      </x:c>
      <x:c r="B340" s="7" t="str">
        <x:v>Observatorio Regional de Participacion y</x:v>
      </x:c>
      <x:c r="C340" s="7" t="str">
        <x:v>Observatorio Regional de Participacion y</x:v>
      </x:c>
      <x:c r="D340" s="7" t="str">
        <x:v>Espacio cultural del directorio oficial</x:v>
      </x:c>
      <x:c r="E340" s="7" t="str">
        <x:v>Comunal/local</x:v>
      </x:c>
      <x:c r="F340" s="7" t="str">
        <x:v>Región de La Araucanía</x:v>
      </x:c>
      <x:c r="G340" s="7" t="str">
        <x:v>Renaico</x:v>
      </x:c>
      <x:c r="H340" s="7" t="str">
        <x:v>Multidisciplinario (por clasificar)</x:v>
      </x:c>
      <x:c r="I340" s="7" t="str">
        <x:v>Canal digital por localizar</x:v>
      </x:c>
      <x:c r="J340" s="10" t="str"/>
      <x:c r="K340" s="10" t="str">
        <x:v>https://ciudadania.cultura.gob.cl/wp-content/uploads/2025/12/Directorio_Espacios-Culturales-2025_RC.pdf#page=241</x:v>
      </x:c>
      <x:c r="L340" s="7" t="str">
        <x:v>Referencia territorial</x:v>
      </x:c>
      <x:c r="M340" s="7" t="str">
        <x:v>No</x:v>
      </x:c>
      <x:c r="N340" s="7" t="str">
        <x:v>Baja</x:v>
      </x:c>
      <x:c r="O340" s="7" t="str">
        <x:v>Investigación manual</x:v>
      </x:c>
      <x:c r="P340" s="8" t="n">
        <x:v>46270.666666666664</x:v>
      </x:c>
      <x:c r="Q340" s="7" t="str">
        <x:v>Dirección OCR: A. Prat 407, Renaico. Ficha PDF p. 241.</x:v>
      </x:c>
      <x:c r="R340" s="58" t="str">
        <x:v>Referencia sin agenda</x:v>
      </x:c>
      <x:c r="S340" s="60" t="n">
        <x:v>0</x:v>
      </x:c>
      <x:c r="T340" s="58" t="str">
        <x:v>alta</x:v>
      </x:c>
      <x:c r="U340" s="60"/>
      <x:c r="V340" s="58" t="str">
        <x:v>Sin dato</x:v>
      </x:c>
      <x:c r="W340" s="64" t="str"/>
      <x:c r="X340" s="62" t="n">
        <x:v>46271.05877363426</x:v>
      </x:c>
      <x:c r="Y340" s="58" t="str">
        <x:v>No es todavía una fuente digital; conservar como pista territorial.</x:v>
      </x:c>
    </x:row>
    <x:row r="341" ht="42" customHeight="1">
      <x:c r="A341" s="9" t="str">
        <x:v>CL-FUE-0340</x:v>
      </x:c>
      <x:c r="B341" s="7" t="str">
        <x:v>Centro Cultural de Padre Las Casas</x:v>
      </x:c>
      <x:c r="C341" s="7" t="str">
        <x:v>Centro Cultural de Padre Las Casas</x:v>
      </x:c>
      <x:c r="D341" s="7" t="str">
        <x:v>Espacio cultural del directorio oficial</x:v>
      </x:c>
      <x:c r="E341" s="7" t="str">
        <x:v>Comunal/local</x:v>
      </x:c>
      <x:c r="F341" s="7" t="str">
        <x:v>Región de La Araucanía</x:v>
      </x:c>
      <x:c r="G341" s="7" t="str">
        <x:v>Padre Las Casas</x:v>
      </x:c>
      <x:c r="H341" s="7" t="str">
        <x:v>Multidisciplinario (por clasificar)</x:v>
      </x:c>
      <x:c r="I341" s="7" t="str">
        <x:v>Canal digital por localizar</x:v>
      </x:c>
      <x:c r="J341" s="10" t="str"/>
      <x:c r="K341" s="10" t="str">
        <x:v>https://ciudadania.cultura.gob.cl/wp-content/uploads/2025/12/Directorio_Espacios-Culturales-2025_RC.pdf#page=242</x:v>
      </x:c>
      <x:c r="L341" s="7" t="str">
        <x:v>Referencia territorial</x:v>
      </x:c>
      <x:c r="M341" s="7" t="str">
        <x:v>No</x:v>
      </x:c>
      <x:c r="N341" s="7" t="str">
        <x:v>Baja</x:v>
      </x:c>
      <x:c r="O341" s="7" t="str">
        <x:v>Investigación manual</x:v>
      </x:c>
      <x:c r="P341" s="8" t="n">
        <x:v>46270.666666666664</x:v>
      </x:c>
      <x:c r="Q341" s="7" t="str">
        <x:v>Dirección OCR: Maquehue 1441, Padre Las Casas. Ficha PDF p. 242.</x:v>
      </x:c>
      <x:c r="R341" s="58" t="str">
        <x:v>Referencia sin agenda</x:v>
      </x:c>
      <x:c r="S341" s="60" t="n">
        <x:v>0</x:v>
      </x:c>
      <x:c r="T341" s="58" t="str">
        <x:v>alta</x:v>
      </x:c>
      <x:c r="U341" s="60"/>
      <x:c r="V341" s="58" t="str">
        <x:v>Sin dato</x:v>
      </x:c>
      <x:c r="W341" s="64" t="str"/>
      <x:c r="X341" s="62" t="n">
        <x:v>46271.05877363426</x:v>
      </x:c>
      <x:c r="Y341" s="58" t="str">
        <x:v>No es todavía una fuente digital; conservar como pista territorial.</x:v>
      </x:c>
    </x:row>
    <x:row r="342" ht="42" customHeight="1">
      <x:c r="A342" s="9" t="str">
        <x:v>CL-FUE-0341</x:v>
      </x:c>
      <x:c r="B342" s="7" t="str">
        <x:v>Espacio de Creacion Artistica Txawun</x:v>
      </x:c>
      <x:c r="C342" s="7" t="str">
        <x:v>Espacio de Creacion Artistica Txawun</x:v>
      </x:c>
      <x:c r="D342" s="7" t="str">
        <x:v>Espacio cultural del directorio oficial</x:v>
      </x:c>
      <x:c r="E342" s="7" t="str">
        <x:v>Comunal/local</x:v>
      </x:c>
      <x:c r="F342" s="7" t="str">
        <x:v>Región de La Araucanía</x:v>
      </x:c>
      <x:c r="G342" s="7" t="str">
        <x:v>Padre Las Casas</x:v>
      </x:c>
      <x:c r="H342" s="7" t="str">
        <x:v>Multidisciplinario (por clasificar)</x:v>
      </x:c>
      <x:c r="I342" s="7" t="str">
        <x:v>Canal digital por localizar</x:v>
      </x:c>
      <x:c r="J342" s="10" t="str"/>
      <x:c r="K342" s="10" t="str">
        <x:v>https://ciudadania.cultura.gob.cl/wp-content/uploads/2025/12/Directorio_Espacios-Culturales-2025_RC.pdf#page=243</x:v>
      </x:c>
      <x:c r="L342" s="7" t="str">
        <x:v>Referencia territorial</x:v>
      </x:c>
      <x:c r="M342" s="7" t="str">
        <x:v>No</x:v>
      </x:c>
      <x:c r="N342" s="7" t="str">
        <x:v>Baja</x:v>
      </x:c>
      <x:c r="O342" s="7" t="str">
        <x:v>Investigación manual</x:v>
      </x:c>
      <x:c r="P342" s="8" t="n">
        <x:v>46270.666666666664</x:v>
      </x:c>
      <x:c r="Q342" s="7" t="str">
        <x:v>Dirección OCR: Km 13,5 camino a Niagara, Padre Las Casas. Ficha PDF p. 243.</x:v>
      </x:c>
      <x:c r="R342" s="58" t="str">
        <x:v>Referencia sin agenda</x:v>
      </x:c>
      <x:c r="S342" s="60" t="n">
        <x:v>0</x:v>
      </x:c>
      <x:c r="T342" s="58" t="str">
        <x:v>alta</x:v>
      </x:c>
      <x:c r="U342" s="60"/>
      <x:c r="V342" s="58" t="str">
        <x:v>Sin dato</x:v>
      </x:c>
      <x:c r="W342" s="64" t="str"/>
      <x:c r="X342" s="62" t="n">
        <x:v>46271.05877363426</x:v>
      </x:c>
      <x:c r="Y342" s="58" t="str">
        <x:v>No es todavía una fuente digital; conservar como pista territorial.</x:v>
      </x:c>
    </x:row>
    <x:row r="343" ht="42" customHeight="1">
      <x:c r="A343" s="9" t="str">
        <x:v>CL-FUE-0342</x:v>
      </x:c>
      <x:c r="B343" s="7" t="str">
        <x:v>Espacio cultural (ficha 244)</x:v>
      </x:c>
      <x:c r="C343" s="7" t="str">
        <x:v>Espacio cultural (ficha 244)</x:v>
      </x:c>
      <x:c r="D343" s="7" t="str">
        <x:v>Espacio cultural del directorio oficial</x:v>
      </x:c>
      <x:c r="E343" s="7" t="str">
        <x:v>Comunal/local</x:v>
      </x:c>
      <x:c r="F343" s="7" t="str">
        <x:v>Región de La Araucanía</x:v>
      </x:c>
      <x:c r="G343" s="7" t="str">
        <x:v>Angol</x:v>
      </x:c>
      <x:c r="H343" s="7" t="str">
        <x:v>Artes escénicas; Danza; Patrimonio; Teatro</x:v>
      </x:c>
      <x:c r="I343" s="7" t="str">
        <x:v>Canal digital por localizar</x:v>
      </x:c>
      <x:c r="J343" s="10" t="str"/>
      <x:c r="K343" s="10" t="str">
        <x:v>https://ciudadania.cultura.gob.cl/wp-content/uploads/2025/12/Directorio_Espacios-Culturales-2025_RC.pdf#page=244</x:v>
      </x:c>
      <x:c r="L343" s="7" t="str">
        <x:v>Referencia territorial</x:v>
      </x:c>
      <x:c r="M343" s="7" t="str">
        <x:v>No</x:v>
      </x:c>
      <x:c r="N343" s="7" t="str">
        <x:v>Baja</x:v>
      </x:c>
      <x:c r="O343" s="7" t="str">
        <x:v>Investigación manual</x:v>
      </x:c>
      <x:c r="P343" s="8" t="n">
        <x:v>46270.666666666664</x:v>
      </x:c>
      <x:c r="Q343" s="7" t="str">
        <x:v>Dirección OCR: Lautaro 101, Angol. Ficha PDF p. 244.</x:v>
      </x:c>
      <x:c r="R343" s="58" t="str">
        <x:v>Referencia sin agenda</x:v>
      </x:c>
      <x:c r="S343" s="60" t="n">
        <x:v>0</x:v>
      </x:c>
      <x:c r="T343" s="58" t="str">
        <x:v>alta</x:v>
      </x:c>
      <x:c r="U343" s="60"/>
      <x:c r="V343" s="58" t="str">
        <x:v>Sin dato</x:v>
      </x:c>
      <x:c r="W343" s="64" t="str"/>
      <x:c r="X343" s="62" t="n">
        <x:v>46271.05877363426</x:v>
      </x:c>
      <x:c r="Y343" s="58" t="str">
        <x:v>No es todavía una fuente digital; conservar como pista territorial.</x:v>
      </x:c>
    </x:row>
    <x:row r="344" ht="42" customHeight="1">
      <x:c r="A344" s="9" t="str">
        <x:v>CL-FUE-0343</x:v>
      </x:c>
      <x:c r="B344" s="7" t="str">
        <x:v>Centro Cultural Galo Sepulveda</x:v>
      </x:c>
      <x:c r="C344" s="7" t="str">
        <x:v>Centro Cultural Galo Sepulveda</x:v>
      </x:c>
      <x:c r="D344" s="7" t="str">
        <x:v>Espacio cultural del directorio oficial</x:v>
      </x:c>
      <x:c r="E344" s="7" t="str">
        <x:v>Comunal/local</x:v>
      </x:c>
      <x:c r="F344" s="7" t="str">
        <x:v>Región de La Araucanía</x:v>
      </x:c>
      <x:c r="G344" s="7" t="str">
        <x:v>Temuco</x:v>
      </x:c>
      <x:c r="H344" s="7" t="str">
        <x:v>Artes visuales</x:v>
      </x:c>
      <x:c r="I344" s="7" t="str">
        <x:v>Canal digital por localizar</x:v>
      </x:c>
      <x:c r="J344" s="10" t="str"/>
      <x:c r="K344" s="10" t="str">
        <x:v>https://ciudadania.cultura.gob.cl/wp-content/uploads/2025/12/Directorio_Espacios-Culturales-2025_RC.pdf#page=245</x:v>
      </x:c>
      <x:c r="L344" s="7" t="str">
        <x:v>Referencia territorial</x:v>
      </x:c>
      <x:c r="M344" s="7" t="str">
        <x:v>No</x:v>
      </x:c>
      <x:c r="N344" s="7" t="str">
        <x:v>Baja</x:v>
      </x:c>
      <x:c r="O344" s="7" t="str">
        <x:v>Investigación manual</x:v>
      </x:c>
      <x:c r="P344" s="8" t="n">
        <x:v>46270.666666666664</x:v>
      </x:c>
      <x:c r="Q344" s="7" t="str">
        <x:v>Dirección OCR: Prat 042, Temuco. Ficha PDF p. 245.</x:v>
      </x:c>
      <x:c r="R344" s="58" t="str">
        <x:v>Referencia sin agenda</x:v>
      </x:c>
      <x:c r="S344" s="60" t="n">
        <x:v>0</x:v>
      </x:c>
      <x:c r="T344" s="58" t="str">
        <x:v>alta</x:v>
      </x:c>
      <x:c r="U344" s="60"/>
      <x:c r="V344" s="58" t="str">
        <x:v>Sin dato</x:v>
      </x:c>
      <x:c r="W344" s="64" t="str"/>
      <x:c r="X344" s="62" t="n">
        <x:v>46271.05877363426</x:v>
      </x:c>
      <x:c r="Y344" s="58" t="str">
        <x:v>No es todavía una fuente digital; conservar como pista territorial.</x:v>
      </x:c>
    </x:row>
    <x:row r="345" ht="42" customHeight="1">
      <x:c r="A345" s="9" t="str">
        <x:v>CL-FUE-0344</x:v>
      </x:c>
      <x:c r="B345" s="7" t="str">
        <x:v>© teatromunicipal@temuco.cl</x:v>
      </x:c>
      <x:c r="C345" s="7" t="str">
        <x:v>© teatromunicipal@temuco.cl</x:v>
      </x:c>
      <x:c r="D345" s="7" t="str">
        <x:v>Espacio cultural del directorio oficial</x:v>
      </x:c>
      <x:c r="E345" s="7" t="str">
        <x:v>Comunal/local</x:v>
      </x:c>
      <x:c r="F345" s="7" t="str">
        <x:v>Región de La Araucanía</x:v>
      </x:c>
      <x:c r="G345" s="7" t="str">
        <x:v>Temuco</x:v>
      </x:c>
      <x:c r="H345" s="7" t="str">
        <x:v>Teatro</x:v>
      </x:c>
      <x:c r="I345" s="7" t="str">
        <x:v>Canal digital por localizar</x:v>
      </x:c>
      <x:c r="J345" s="10" t="str"/>
      <x:c r="K345" s="10" t="str">
        <x:v>https://ciudadania.cultura.gob.cl/wp-content/uploads/2025/12/Directorio_Espacios-Culturales-2025_RC.pdf#page=246</x:v>
      </x:c>
      <x:c r="L345" s="7" t="str">
        <x:v>Referencia territorial</x:v>
      </x:c>
      <x:c r="M345" s="7" t="str">
        <x:v>No</x:v>
      </x:c>
      <x:c r="N345" s="7" t="str">
        <x:v>Baja</x:v>
      </x:c>
      <x:c r="O345" s="7" t="str">
        <x:v>Investigación manual</x:v>
      </x:c>
      <x:c r="P345" s="8" t="n">
        <x:v>46270.666666666664</x:v>
      </x:c>
      <x:c r="Q345" s="7" t="str">
        <x:v>Dirección OCR: Av. Pablo Neruda 01380, Temuco. Ficha PDF p. 246.</x:v>
      </x:c>
      <x:c r="R345" s="58" t="str">
        <x:v>Referencia sin agenda</x:v>
      </x:c>
      <x:c r="S345" s="60" t="n">
        <x:v>0</x:v>
      </x:c>
      <x:c r="T345" s="58" t="str">
        <x:v>alta</x:v>
      </x:c>
      <x:c r="U345" s="60"/>
      <x:c r="V345" s="58" t="str">
        <x:v>Sin dato</x:v>
      </x:c>
      <x:c r="W345" s="64" t="str"/>
      <x:c r="X345" s="62" t="n">
        <x:v>46271.05877363426</x:v>
      </x:c>
      <x:c r="Y345" s="58" t="str">
        <x:v>No es todavía una fuente digital; conservar como pista territorial.</x:v>
      </x:c>
    </x:row>
    <x:row r="346" ht="42" customHeight="1">
      <x:c r="A346" s="9" t="str">
        <x:v>CL-FUE-0345</x:v>
      </x:c>
      <x:c r="B346" s="7" t="str">
        <x:v>Espacio cultural (ficha 247)</x:v>
      </x:c>
      <x:c r="C346" s="7" t="str">
        <x:v>Espacio cultural (ficha 247)</x:v>
      </x:c>
      <x:c r="D346" s="7" t="str">
        <x:v>Espacio cultural del directorio oficial</x:v>
      </x:c>
      <x:c r="E346" s="7" t="str">
        <x:v>Comunal/local</x:v>
      </x:c>
      <x:c r="F346" s="7" t="str">
        <x:v>Región de La Araucanía</x:v>
      </x:c>
      <x:c r="G346" s="7" t="str">
        <x:v>Carahue</x:v>
      </x:c>
      <x:c r="H346" s="7" t="str">
        <x:v>Danza; Música; Patrimonio; Teatro</x:v>
      </x:c>
      <x:c r="I346" s="7" t="str">
        <x:v>Canal digital por localizar</x:v>
      </x:c>
      <x:c r="J346" s="10" t="str"/>
      <x:c r="K346" s="10" t="str">
        <x:v>https://ciudadania.cultura.gob.cl/wp-content/uploads/2025/12/Directorio_Espacios-Culturales-2025_RC.pdf#page=247</x:v>
      </x:c>
      <x:c r="L346" s="7" t="str">
        <x:v>Referencia territorial</x:v>
      </x:c>
      <x:c r="M346" s="7" t="str">
        <x:v>No</x:v>
      </x:c>
      <x:c r="N346" s="7" t="str">
        <x:v>Baja</x:v>
      </x:c>
      <x:c r="O346" s="7" t="str">
        <x:v>Investigación manual</x:v>
      </x:c>
      <x:c r="P346" s="8" t="n">
        <x:v>46270.666666666664</x:v>
      </x:c>
      <x:c r="Q346" s="7" t="str">
        <x:v>Dirección OCR: Manuel Montt 295, Carahue. Ficha PDF p. 247.</x:v>
      </x:c>
      <x:c r="R346" s="58" t="str">
        <x:v>Referencia sin agenda</x:v>
      </x:c>
      <x:c r="S346" s="60" t="n">
        <x:v>0</x:v>
      </x:c>
      <x:c r="T346" s="58" t="str">
        <x:v>alta</x:v>
      </x:c>
      <x:c r="U346" s="60"/>
      <x:c r="V346" s="58" t="str">
        <x:v>Sin dato</x:v>
      </x:c>
      <x:c r="W346" s="64" t="str"/>
      <x:c r="X346" s="62" t="n">
        <x:v>46271.05877363426</x:v>
      </x:c>
      <x:c r="Y346" s="58" t="str">
        <x:v>No es todavía una fuente digital; conservar como pista territorial.</x:v>
      </x:c>
    </x:row>
    <x:row r="347" ht="42" customHeight="1">
      <x:c r="A347" s="9" t="str">
        <x:v>CL-FUE-0346</x:v>
      </x:c>
      <x:c r="B347" s="7" t="str">
        <x:v>© cultura@mcuracautin.cl</x:v>
      </x:c>
      <x:c r="C347" s="7" t="str">
        <x:v>© cultura@mcuracautin.cl</x:v>
      </x:c>
      <x:c r="D347" s="7" t="str">
        <x:v>Espacio cultural del directorio oficial</x:v>
      </x:c>
      <x:c r="E347" s="7" t="str">
        <x:v>Comunal/local</x:v>
      </x:c>
      <x:c r="F347" s="7" t="str">
        <x:v>Región de La Araucanía</x:v>
      </x:c>
      <x:c r="G347" s="7" t="str">
        <x:v>Curacautin</x:v>
      </x:c>
      <x:c r="H347" s="7" t="str">
        <x:v>Multidisciplinario (por clasificar)</x:v>
      </x:c>
      <x:c r="I347" s="7" t="str">
        <x:v>Canal digital por localizar</x:v>
      </x:c>
      <x:c r="J347" s="10" t="str"/>
      <x:c r="K347" s="10" t="str">
        <x:v>https://ciudadania.cultura.gob.cl/wp-content/uploads/2025/12/Directorio_Espacios-Culturales-2025_RC.pdf#page=248</x:v>
      </x:c>
      <x:c r="L347" s="7" t="str">
        <x:v>Referencia territorial</x:v>
      </x:c>
      <x:c r="M347" s="7" t="str">
        <x:v>No</x:v>
      </x:c>
      <x:c r="N347" s="7" t="str">
        <x:v>Baja</x:v>
      </x:c>
      <x:c r="O347" s="7" t="str">
        <x:v>Investigación manual</x:v>
      </x:c>
      <x:c r="P347" s="8" t="n">
        <x:v>46270.666666666664</x:v>
      </x:c>
      <x:c r="Q347" s="7" t="str">
        <x:v>Dirección OCR: Serrano 295, Curacautin. Ficha PDF p. 248.</x:v>
      </x:c>
      <x:c r="R347" s="58" t="str">
        <x:v>Referencia sin agenda</x:v>
      </x:c>
      <x:c r="S347" s="60" t="n">
        <x:v>0</x:v>
      </x:c>
      <x:c r="T347" s="58" t="str">
        <x:v>alta</x:v>
      </x:c>
      <x:c r="U347" s="60"/>
      <x:c r="V347" s="58" t="str">
        <x:v>Sin dato</x:v>
      </x:c>
      <x:c r="W347" s="64" t="str"/>
      <x:c r="X347" s="62" t="n">
        <x:v>46271.05877363426</x:v>
      </x:c>
      <x:c r="Y347" s="58" t="str">
        <x:v>No es todavía una fuente digital; conservar como pista territorial.</x:v>
      </x:c>
    </x:row>
    <x:row r="348" ht="42" customHeight="1">
      <x:c r="A348" s="9" t="str">
        <x:v>CL-FUE-0347</x:v>
      </x:c>
      <x:c r="B348" s="7" t="str">
        <x:v>Espacio cultural (ficha 249)</x:v>
      </x:c>
      <x:c r="C348" s="7" t="str">
        <x:v>Espacio cultural (ficha 249)</x:v>
      </x:c>
      <x:c r="D348" s="7" t="str">
        <x:v>Espacio cultural del directorio oficial</x:v>
      </x:c>
      <x:c r="E348" s="7" t="str">
        <x:v>Comunal/local</x:v>
      </x:c>
      <x:c r="F348" s="7" t="str">
        <x:v>Región de La Araucanía</x:v>
      </x:c>
      <x:c r="G348" s="7" t="str">
        <x:v>Collipulli</x:v>
      </x:c>
      <x:c r="H348" s="7" t="str">
        <x:v>Multidisciplinario (por clasificar)</x:v>
      </x:c>
      <x:c r="I348" s="7" t="str">
        <x:v>Canal digital por localizar</x:v>
      </x:c>
      <x:c r="J348" s="10" t="str"/>
      <x:c r="K348" s="10" t="str">
        <x:v>https://ciudadania.cultura.gob.cl/wp-content/uploads/2025/12/Directorio_Espacios-Culturales-2025_RC.pdf#page=249</x:v>
      </x:c>
      <x:c r="L348" s="7" t="str">
        <x:v>Referencia territorial</x:v>
      </x:c>
      <x:c r="M348" s="7" t="str">
        <x:v>No</x:v>
      </x:c>
      <x:c r="N348" s="7" t="str">
        <x:v>Baja</x:v>
      </x:c>
      <x:c r="O348" s="7" t="str">
        <x:v>Investigación manual</x:v>
      </x:c>
      <x:c r="P348" s="8" t="n">
        <x:v>46270.666666666664</x:v>
      </x:c>
      <x:c r="Q348" s="7" t="str">
        <x:v>Dirección OCR: Calle Alcézar 1026, Collipulli. Ficha PDF p. 249.</x:v>
      </x:c>
      <x:c r="R348" s="58" t="str">
        <x:v>Referencia sin agenda</x:v>
      </x:c>
      <x:c r="S348" s="60" t="n">
        <x:v>0</x:v>
      </x:c>
      <x:c r="T348" s="58" t="str">
        <x:v>alta</x:v>
      </x:c>
      <x:c r="U348" s="60"/>
      <x:c r="V348" s="58" t="str">
        <x:v>Sin dato</x:v>
      </x:c>
      <x:c r="W348" s="64" t="str"/>
      <x:c r="X348" s="62" t="n">
        <x:v>46271.05877363426</x:v>
      </x:c>
      <x:c r="Y348" s="58" t="str">
        <x:v>No es todavía una fuente digital; conservar como pista territorial.</x:v>
      </x:c>
    </x:row>
    <x:row r="349" ht="42" customHeight="1">
      <x:c r="A349" s="9" t="str">
        <x:v>CL-FUE-0348</x:v>
      </x:c>
      <x:c r="B349" s="7" t="str">
        <x:v>Crisol Celeste Residencia Artistica</x:v>
      </x:c>
      <x:c r="C349" s="7" t="str">
        <x:v>Crisol Celeste Residencia Artistica</x:v>
      </x:c>
      <x:c r="D349" s="7" t="str">
        <x:v>Espacio cultural del directorio oficial</x:v>
      </x:c>
      <x:c r="E349" s="7" t="str">
        <x:v>Comunal/local</x:v>
      </x:c>
      <x:c r="F349" s="7" t="str">
        <x:v>Región de La Araucanía</x:v>
      </x:c>
      <x:c r="G349" s="7" t="str">
        <x:v>Villarrica</x:v>
      </x:c>
      <x:c r="H349" s="7" t="str">
        <x:v>Artesanía; Artes escénicas; Audiovisual; Interculturalidad</x:v>
      </x:c>
      <x:c r="I349" s="7" t="str">
        <x:v>Canal digital por localizar</x:v>
      </x:c>
      <x:c r="J349" s="10" t="str"/>
      <x:c r="K349" s="10" t="str">
        <x:v>https://ciudadania.cultura.gob.cl/wp-content/uploads/2025/12/Directorio_Espacios-Culturales-2025_RC.pdf#page=250</x:v>
      </x:c>
      <x:c r="L349" s="7" t="str">
        <x:v>Referencia territorial</x:v>
      </x:c>
      <x:c r="M349" s="7" t="str">
        <x:v>No</x:v>
      </x:c>
      <x:c r="N349" s="7" t="str">
        <x:v>Baja</x:v>
      </x:c>
      <x:c r="O349" s="7" t="str">
        <x:v>Investigación manual</x:v>
      </x:c>
      <x:c r="P349" s="8" t="n">
        <x:v>46270.666666666664</x:v>
      </x:c>
      <x:c r="Q349" s="7" t="str">
        <x:v>Dirección OCR: Km 11 camino a Licanrray, Villarrica. Ficha PDF p. 250.</x:v>
      </x:c>
      <x:c r="R349" s="58" t="str">
        <x:v>Referencia sin agenda</x:v>
      </x:c>
      <x:c r="S349" s="60" t="n">
        <x:v>0</x:v>
      </x:c>
      <x:c r="T349" s="58" t="str">
        <x:v>alta</x:v>
      </x:c>
      <x:c r="U349" s="60"/>
      <x:c r="V349" s="58" t="str">
        <x:v>Sin dato</x:v>
      </x:c>
      <x:c r="W349" s="64" t="str"/>
      <x:c r="X349" s="62" t="n">
        <x:v>46271.05877363426</x:v>
      </x:c>
      <x:c r="Y349" s="58" t="str">
        <x:v>No es todavía una fuente digital; conservar como pista territorial.</x:v>
      </x:c>
    </x:row>
    <x:row r="350" ht="42" customHeight="1">
      <x:c r="A350" s="9" t="str">
        <x:v>CL-FUE-0349</x:v>
      </x:c>
      <x:c r="B350" s="7" t="str">
        <x:v>Casa de la Cultura de Traiguén</x:v>
      </x:c>
      <x:c r="C350" s="7" t="str">
        <x:v>Casa de la Cultura de Traiguén</x:v>
      </x:c>
      <x:c r="D350" s="7" t="str">
        <x:v>Espacio cultural del directorio oficial</x:v>
      </x:c>
      <x:c r="E350" s="7" t="str">
        <x:v>Comunal/local</x:v>
      </x:c>
      <x:c r="F350" s="7" t="str">
        <x:v>Región de La Araucanía</x:v>
      </x:c>
      <x:c r="G350" s="7" t="str">
        <x:v>Traiguén</x:v>
      </x:c>
      <x:c r="H350" s="7" t="str">
        <x:v>Artes escénicas; Artes visuales; Música</x:v>
      </x:c>
      <x:c r="I350" s="7" t="str">
        <x:v>Canal digital por localizar</x:v>
      </x:c>
      <x:c r="J350" s="10" t="str"/>
      <x:c r="K350" s="10" t="str">
        <x:v>https://ciudadania.cultura.gob.cl/wp-content/uploads/2025/12/Directorio_Espacios-Culturales-2025_RC.pdf#page=251</x:v>
      </x:c>
      <x:c r="L350" s="7" t="str">
        <x:v>Referencia territorial</x:v>
      </x:c>
      <x:c r="M350" s="7" t="str">
        <x:v>No</x:v>
      </x:c>
      <x:c r="N350" s="7" t="str">
        <x:v>Baja</x:v>
      </x:c>
      <x:c r="O350" s="7" t="str">
        <x:v>Investigación manual</x:v>
      </x:c>
      <x:c r="P350" s="8" t="n">
        <x:v>46270.666666666664</x:v>
      </x:c>
      <x:c r="Q350" s="7" t="str">
        <x:v>Dirección OCR: Lagos 562, Traiguén. Ficha PDF p. 251.</x:v>
      </x:c>
      <x:c r="R350" s="58" t="str">
        <x:v>Referencia sin agenda</x:v>
      </x:c>
      <x:c r="S350" s="60" t="n">
        <x:v>0</x:v>
      </x:c>
      <x:c r="T350" s="58" t="str">
        <x:v>alta</x:v>
      </x:c>
      <x:c r="U350" s="60"/>
      <x:c r="V350" s="58" t="str">
        <x:v>Sin dato</x:v>
      </x:c>
      <x:c r="W350" s="64" t="str"/>
      <x:c r="X350" s="62" t="n">
        <x:v>46271.05877363426</x:v>
      </x:c>
      <x:c r="Y350" s="58" t="str">
        <x:v>No es todavía una fuente digital; conservar como pista territorial.</x:v>
      </x:c>
    </x:row>
    <x:row r="351" ht="42" customHeight="1">
      <x:c r="A351" s="9" t="str">
        <x:v>CL-FUE-0350</x:v>
      </x:c>
      <x:c r="B351" s="7" t="str">
        <x:v>Casa de la Cultura Municipal de Pucon</x:v>
      </x:c>
      <x:c r="C351" s="7" t="str">
        <x:v>Casa de la Cultura Municipal de Pucon</x:v>
      </x:c>
      <x:c r="D351" s="7" t="str">
        <x:v>Espacio cultural del directorio oficial</x:v>
      </x:c>
      <x:c r="E351" s="7" t="str">
        <x:v>Comunal/local</x:v>
      </x:c>
      <x:c r="F351" s="7" t="str">
        <x:v>Región de La Araucanía</x:v>
      </x:c>
      <x:c r="G351" s="7" t="str">
        <x:v>Pucén</x:v>
      </x:c>
      <x:c r="H351" s="7" t="str">
        <x:v>Artes escénicas; Artes visuales; Audiovisual; Educación artística; Patrimonio</x:v>
      </x:c>
      <x:c r="I351" s="7" t="str">
        <x:v>Canal digital por localizar</x:v>
      </x:c>
      <x:c r="J351" s="10" t="str"/>
      <x:c r="K351" s="10" t="str">
        <x:v>https://ciudadania.cultura.gob.cl/wp-content/uploads/2025/12/Directorio_Espacios-Culturales-2025_RC.pdf#page=252</x:v>
      </x:c>
      <x:c r="L351" s="7" t="str">
        <x:v>Referencia territorial</x:v>
      </x:c>
      <x:c r="M351" s="7" t="str">
        <x:v>No</x:v>
      </x:c>
      <x:c r="N351" s="7" t="str">
        <x:v>Baja</x:v>
      </x:c>
      <x:c r="O351" s="7" t="str">
        <x:v>Investigación manual</x:v>
      </x:c>
      <x:c r="P351" s="8" t="n">
        <x:v>46270.666666666664</x:v>
      </x:c>
      <x:c r="Q351" s="7" t="str">
        <x:v>Dirección OCR: Caupolican 210, Pucén. Ficha PDF p. 252.</x:v>
      </x:c>
      <x:c r="R351" s="58" t="str">
        <x:v>Referencia sin agenda</x:v>
      </x:c>
      <x:c r="S351" s="60" t="n">
        <x:v>0</x:v>
      </x:c>
      <x:c r="T351" s="58" t="str">
        <x:v>alta</x:v>
      </x:c>
      <x:c r="U351" s="60"/>
      <x:c r="V351" s="58" t="str">
        <x:v>Sin dato</x:v>
      </x:c>
      <x:c r="W351" s="64" t="str"/>
      <x:c r="X351" s="62" t="n">
        <x:v>46271.05877363426</x:v>
      </x:c>
      <x:c r="Y351" s="58" t="str">
        <x:v>No es todavía una fuente digital; conservar como pista territorial.</x:v>
      </x:c>
    </x:row>
    <x:row r="352" ht="42" customHeight="1">
      <x:c r="A352" s="9" t="str">
        <x:v>CL-FUE-0351</x:v>
      </x:c>
      <x:c r="B352" s="7" t="str">
        <x:v>Centro Cultural Municipal de Nueva Imperial</x:v>
      </x:c>
      <x:c r="C352" s="7" t="str">
        <x:v>Centro Cultural Municipal de Nueva Imperial</x:v>
      </x:c>
      <x:c r="D352" s="7" t="str">
        <x:v>Espacio cultural del directorio oficial</x:v>
      </x:c>
      <x:c r="E352" s="7" t="str">
        <x:v>Comunal/local</x:v>
      </x:c>
      <x:c r="F352" s="7" t="str">
        <x:v>Región de La Araucanía</x:v>
      </x:c>
      <x:c r="G352" s="7" t="str">
        <x:v>Nueva Imperial</x:v>
      </x:c>
      <x:c r="H352" s="7" t="str">
        <x:v>Artesanía; Artes escénicas; Audiovisual; Interculturalidad</x:v>
      </x:c>
      <x:c r="I352" s="7" t="str">
        <x:v>Canal digital por localizar</x:v>
      </x:c>
      <x:c r="J352" s="10" t="str"/>
      <x:c r="K352" s="10" t="str">
        <x:v>https://ciudadania.cultura.gob.cl/wp-content/uploads/2025/12/Directorio_Espacios-Culturales-2025_RC.pdf#page=253</x:v>
      </x:c>
      <x:c r="L352" s="7" t="str">
        <x:v>Referencia territorial</x:v>
      </x:c>
      <x:c r="M352" s="7" t="str">
        <x:v>No</x:v>
      </x:c>
      <x:c r="N352" s="7" t="str">
        <x:v>Baja</x:v>
      </x:c>
      <x:c r="O352" s="7" t="str">
        <x:v>Investigación manual</x:v>
      </x:c>
      <x:c r="P352" s="8" t="n">
        <x:v>46270.666666666664</x:v>
      </x:c>
      <x:c r="Q352" s="7" t="str">
        <x:v>Dirección OCR: Prat 309, Nueva Imperial. Ficha PDF p. 253.</x:v>
      </x:c>
      <x:c r="R352" s="58" t="str">
        <x:v>Referencia sin agenda</x:v>
      </x:c>
      <x:c r="S352" s="60" t="n">
        <x:v>0</x:v>
      </x:c>
      <x:c r="T352" s="58" t="str">
        <x:v>alta</x:v>
      </x:c>
      <x:c r="U352" s="60"/>
      <x:c r="V352" s="58" t="str">
        <x:v>Sin dato</x:v>
      </x:c>
      <x:c r="W352" s="64" t="str"/>
      <x:c r="X352" s="62" t="n">
        <x:v>46271.05877363426</x:v>
      </x:c>
      <x:c r="Y352" s="58" t="str">
        <x:v>No es todavía una fuente digital; conservar como pista territorial.</x:v>
      </x:c>
    </x:row>
    <x:row r="353" ht="42" customHeight="1">
      <x:c r="A353" s="9" t="str">
        <x:v>CL-FUE-0352</x:v>
      </x:c>
      <x:c r="B353" s="7" t="str">
        <x:v>Teatro Municipal de Renaico</x:v>
      </x:c>
      <x:c r="C353" s="7" t="str">
        <x:v>Teatro Municipal de Renaico</x:v>
      </x:c>
      <x:c r="D353" s="7" t="str">
        <x:v>Espacio cultural del directorio oficial</x:v>
      </x:c>
      <x:c r="E353" s="7" t="str">
        <x:v>Comunal/local</x:v>
      </x:c>
      <x:c r="F353" s="7" t="str">
        <x:v>Región de La Araucanía</x:v>
      </x:c>
      <x:c r="G353" s="7" t="str">
        <x:v>Renaico</x:v>
      </x:c>
      <x:c r="H353" s="7" t="str">
        <x:v>Artes escénicas; Teatro</x:v>
      </x:c>
      <x:c r="I353" s="7" t="str">
        <x:v>Canal digital por localizar</x:v>
      </x:c>
      <x:c r="J353" s="10" t="str"/>
      <x:c r="K353" s="10" t="str">
        <x:v>https://ciudadania.cultura.gob.cl/wp-content/uploads/2025/12/Directorio_Espacios-Culturales-2025_RC.pdf#page=254</x:v>
      </x:c>
      <x:c r="L353" s="7" t="str">
        <x:v>Referencia territorial</x:v>
      </x:c>
      <x:c r="M353" s="7" t="str">
        <x:v>No</x:v>
      </x:c>
      <x:c r="N353" s="7" t="str">
        <x:v>Baja</x:v>
      </x:c>
      <x:c r="O353" s="7" t="str">
        <x:v>Investigación manual</x:v>
      </x:c>
      <x:c r="P353" s="8" t="n">
        <x:v>46270.666666666664</x:v>
      </x:c>
      <x:c r="Q353" s="7" t="str">
        <x:v>Dirección OCR: Comercio 206, Renaico. Ficha PDF p. 254.</x:v>
      </x:c>
      <x:c r="R353" s="58" t="str">
        <x:v>Referencia sin agenda</x:v>
      </x:c>
      <x:c r="S353" s="60" t="n">
        <x:v>0</x:v>
      </x:c>
      <x:c r="T353" s="58" t="str">
        <x:v>alta</x:v>
      </x:c>
      <x:c r="U353" s="60"/>
      <x:c r="V353" s="58" t="str">
        <x:v>Sin dato</x:v>
      </x:c>
      <x:c r="W353" s="64" t="str"/>
      <x:c r="X353" s="62" t="n">
        <x:v>46271.05877363426</x:v>
      </x:c>
      <x:c r="Y353" s="58" t="str">
        <x:v>No es todavía una fuente digital; conservar como pista territorial.</x:v>
      </x:c>
    </x:row>
    <x:row r="354" ht="42" customHeight="1">
      <x:c r="A354" s="9" t="str">
        <x:v>CL-FUE-0353</x:v>
      </x:c>
      <x:c r="B354" s="7" t="str">
        <x:v>Espacio cultural (ficha 255)</x:v>
      </x:c>
      <x:c r="C354" s="7" t="str">
        <x:v>Espacio cultural (ficha 255)</x:v>
      </x:c>
      <x:c r="D354" s="7" t="str">
        <x:v>Espacio cultural del directorio oficial</x:v>
      </x:c>
      <x:c r="E354" s="7" t="str">
        <x:v>Comunal/local</x:v>
      </x:c>
      <x:c r="F354" s="7" t="str">
        <x:v>Región de La Araucanía</x:v>
      </x:c>
      <x:c r="G354" s="7" t="str">
        <x:v>Lonquimay</x:v>
      </x:c>
      <x:c r="H354" s="7" t="str">
        <x:v>Multidisciplinario (por clasificar)</x:v>
      </x:c>
      <x:c r="I354" s="7" t="str">
        <x:v>Canal digital por localizar</x:v>
      </x:c>
      <x:c r="J354" s="10" t="str"/>
      <x:c r="K354" s="10" t="str">
        <x:v>https://ciudadania.cultura.gob.cl/wp-content/uploads/2025/12/Directorio_Espacios-Culturales-2025_RC.pdf#page=255</x:v>
      </x:c>
      <x:c r="L354" s="7" t="str">
        <x:v>Referencia territorial</x:v>
      </x:c>
      <x:c r="M354" s="7" t="str">
        <x:v>No</x:v>
      </x:c>
      <x:c r="N354" s="7" t="str">
        <x:v>Baja</x:v>
      </x:c>
      <x:c r="O354" s="7" t="str">
        <x:v>Investigación manual</x:v>
      </x:c>
      <x:c r="P354" s="8" t="n">
        <x:v>46270.666666666664</x:v>
      </x:c>
      <x:c r="Q354" s="7" t="str">
        <x:v>Dirección OCR: O'Higgins s/n, Lonquimay. Ficha PDF p. 255.</x:v>
      </x:c>
      <x:c r="R354" s="58" t="str">
        <x:v>Referencia sin agenda</x:v>
      </x:c>
      <x:c r="S354" s="60" t="n">
        <x:v>0</x:v>
      </x:c>
      <x:c r="T354" s="58" t="str">
        <x:v>alta</x:v>
      </x:c>
      <x:c r="U354" s="60"/>
      <x:c r="V354" s="58" t="str">
        <x:v>Sin dato</x:v>
      </x:c>
      <x:c r="W354" s="64" t="str"/>
      <x:c r="X354" s="62" t="n">
        <x:v>46271.05877363426</x:v>
      </x:c>
      <x:c r="Y354" s="58" t="str">
        <x:v>No es todavía una fuente digital; conservar como pista territorial.</x:v>
      </x:c>
    </x:row>
    <x:row r="355" ht="42" customHeight="1">
      <x:c r="A355" s="9" t="str">
        <x:v>CL-FUE-0354</x:v>
      </x:c>
      <x:c r="B355" s="7" t="str">
        <x:v>Espacio cultural (ficha 257)</x:v>
      </x:c>
      <x:c r="C355" s="7" t="str">
        <x:v>Espacio cultural (ficha 257)</x:v>
      </x:c>
      <x:c r="D355" s="7" t="str">
        <x:v>Espacio cultural del directorio oficial</x:v>
      </x:c>
      <x:c r="E355" s="7" t="str">
        <x:v>Comunal/local</x:v>
      </x:c>
      <x:c r="F355" s="7" t="str">
        <x:v>Región de Los Ríos</x:v>
      </x:c>
      <x:c r="G355" s="7" t="str">
        <x:v>Lago Ranco</x:v>
      </x:c>
      <x:c r="H355" s="7" t="str">
        <x:v>Patrimonio</x:v>
      </x:c>
      <x:c r="I355" s="7" t="str">
        <x:v>Canal digital por localizar</x:v>
      </x:c>
      <x:c r="J355" s="10" t="str"/>
      <x:c r="K355" s="10" t="str">
        <x:v>https://ciudadania.cultura.gob.cl/wp-content/uploads/2025/12/Directorio_Espacios-Culturales-2025_RC.pdf#page=257</x:v>
      </x:c>
      <x:c r="L355" s="7" t="str">
        <x:v>Referencia territorial</x:v>
      </x:c>
      <x:c r="M355" s="7" t="str">
        <x:v>No</x:v>
      </x:c>
      <x:c r="N355" s="7" t="str">
        <x:v>Baja</x:v>
      </x:c>
      <x:c r="O355" s="7" t="str">
        <x:v>Investigación manual</x:v>
      </x:c>
      <x:c r="P355" s="8" t="n">
        <x:v>46270.666666666664</x:v>
      </x:c>
      <x:c r="Q355" s="7" t="str">
        <x:v>Dirección OCR: ‘Ancud s/n, Lago Ranco. Ficha PDF p. 257.</x:v>
      </x:c>
      <x:c r="R355" s="58" t="str">
        <x:v>Referencia sin agenda</x:v>
      </x:c>
      <x:c r="S355" s="60" t="n">
        <x:v>0</x:v>
      </x:c>
      <x:c r="T355" s="58" t="str">
        <x:v>alta</x:v>
      </x:c>
      <x:c r="U355" s="60"/>
      <x:c r="V355" s="58" t="str">
        <x:v>Sin dato</x:v>
      </x:c>
      <x:c r="W355" s="64" t="str"/>
      <x:c r="X355" s="62" t="n">
        <x:v>46271.05877363426</x:v>
      </x:c>
      <x:c r="Y355" s="58" t="str">
        <x:v>No es todavía una fuente digital; conservar como pista territorial.</x:v>
      </x:c>
    </x:row>
    <x:row r="356" ht="42" customHeight="1">
      <x:c r="A356" s="9" t="str">
        <x:v>CL-FUE-0355</x:v>
      </x:c>
      <x:c r="B356" s="7" t="str">
        <x:v>Espacio cultural (ficha 258)</x:v>
      </x:c>
      <x:c r="C356" s="7" t="str">
        <x:v>Espacio cultural (ficha 258)</x:v>
      </x:c>
      <x:c r="D356" s="7" t="str">
        <x:v>Espacio cultural del directorio oficial</x:v>
      </x:c>
      <x:c r="E356" s="7" t="str">
        <x:v>Comunal/local</x:v>
      </x:c>
      <x:c r="F356" s="7" t="str">
        <x:v>Región de Los Ríos</x:v>
      </x:c>
      <x:c r="G356" s="7" t="str">
        <x:v>Lanco</x:v>
      </x:c>
      <x:c r="H356" s="7" t="str">
        <x:v>Artesanía; Artes escénicas; Audiovisual; Danza; Patrimonio</x:v>
      </x:c>
      <x:c r="I356" s="7" t="str">
        <x:v>Canal digital por localizar</x:v>
      </x:c>
      <x:c r="J356" s="10" t="str"/>
      <x:c r="K356" s="10" t="str">
        <x:v>https://ciudadania.cultura.gob.cl/wp-content/uploads/2025/12/Directorio_Espacios-Culturales-2025_RC.pdf#page=258</x:v>
      </x:c>
      <x:c r="L356" s="7" t="str">
        <x:v>Referencia territorial</x:v>
      </x:c>
      <x:c r="M356" s="7" t="str">
        <x:v>No</x:v>
      </x:c>
      <x:c r="N356" s="7" t="str">
        <x:v>Baja</x:v>
      </x:c>
      <x:c r="O356" s="7" t="str">
        <x:v>Investigación manual</x:v>
      </x:c>
      <x:c r="P356" s="8" t="n">
        <x:v>46270.666666666664</x:v>
      </x:c>
      <x:c r="Q356" s="7" t="str">
        <x:v>Dirección OCR: Arturo Prat 139, Lanco. Ficha PDF p. 258.</x:v>
      </x:c>
      <x:c r="R356" s="58" t="str">
        <x:v>Referencia sin agenda</x:v>
      </x:c>
      <x:c r="S356" s="60" t="n">
        <x:v>0</x:v>
      </x:c>
      <x:c r="T356" s="58" t="str">
        <x:v>alta</x:v>
      </x:c>
      <x:c r="U356" s="60"/>
      <x:c r="V356" s="58" t="str">
        <x:v>Sin dato</x:v>
      </x:c>
      <x:c r="W356" s="64" t="str"/>
      <x:c r="X356" s="62" t="n">
        <x:v>46271.05877363426</x:v>
      </x:c>
      <x:c r="Y356" s="58" t="str">
        <x:v>No es todavía una fuente digital; conservar como pista territorial.</x:v>
      </x:c>
    </x:row>
    <x:row r="357" ht="42" customHeight="1">
      <x:c r="A357" s="9" t="str">
        <x:v>CL-FUE-0356</x:v>
      </x:c>
      <x:c r="B357" s="7" t="str">
        <x:v>Corporacion Cultural Municipal Valdivia</x:v>
      </x:c>
      <x:c r="C357" s="7" t="str">
        <x:v>Corporacion Cultural Municipal Valdivia</x:v>
      </x:c>
      <x:c r="D357" s="7" t="str">
        <x:v>Espacio cultural del directorio oficial</x:v>
      </x:c>
      <x:c r="E357" s="7" t="str">
        <x:v>Comunal/local</x:v>
      </x:c>
      <x:c r="F357" s="7" t="str">
        <x:v>Región de Los Ríos</x:v>
      </x:c>
      <x:c r="G357" s="7" t="str">
        <x:v>Valdivia</x:v>
      </x:c>
      <x:c r="H357" s="7" t="str">
        <x:v>Artes escénicas; Artes visuales; Audiovisual; Educación artística; Literatura; Patrimonio</x:v>
      </x:c>
      <x:c r="I357" s="7" t="str">
        <x:v>Canal digital por localizar</x:v>
      </x:c>
      <x:c r="J357" s="10" t="str"/>
      <x:c r="K357" s="10" t="str">
        <x:v>https://ciudadania.cultura.gob.cl/wp-content/uploads/2025/12/Directorio_Espacios-Culturales-2025_RC.pdf#page=259</x:v>
      </x:c>
      <x:c r="L357" s="7" t="str">
        <x:v>Referencia territorial</x:v>
      </x:c>
      <x:c r="M357" s="7" t="str">
        <x:v>No</x:v>
      </x:c>
      <x:c r="N357" s="7" t="str">
        <x:v>Baja</x:v>
      </x:c>
      <x:c r="O357" s="7" t="str">
        <x:v>Investigación manual</x:v>
      </x:c>
      <x:c r="P357" s="8" t="n">
        <x:v>46270.666666666664</x:v>
      </x:c>
      <x:c r="Q357" s="7" t="str">
        <x:v>Dirección OCR: Los Robles 04, Isla Teja, Valdivia. Ficha PDF p. 259.</x:v>
      </x:c>
      <x:c r="R357" s="58" t="str">
        <x:v>Referencia sin agenda</x:v>
      </x:c>
      <x:c r="S357" s="60" t="n">
        <x:v>0</x:v>
      </x:c>
      <x:c r="T357" s="58" t="str">
        <x:v>alta</x:v>
      </x:c>
      <x:c r="U357" s="60"/>
      <x:c r="V357" s="58" t="str">
        <x:v>Sin dato</x:v>
      </x:c>
      <x:c r="W357" s="64" t="str"/>
      <x:c r="X357" s="62" t="n">
        <x:v>46271.05877363426</x:v>
      </x:c>
      <x:c r="Y357" s="58" t="str">
        <x:v>No es todavía una fuente digital; conservar como pista territorial.</x:v>
      </x:c>
    </x:row>
    <x:row r="358" ht="42" customHeight="1">
      <x:c r="A358" s="9" t="str">
        <x:v>CL-FUE-0357</x:v>
      </x:c>
      <x:c r="B358" s="7" t="str">
        <x:v>Cine Club UACh</x:v>
      </x:c>
      <x:c r="C358" s="7" t="str">
        <x:v>Cine Club UACh</x:v>
      </x:c>
      <x:c r="D358" s="7" t="str">
        <x:v>Espacio cultural del directorio oficial</x:v>
      </x:c>
      <x:c r="E358" s="7" t="str">
        <x:v>Comunal/local</x:v>
      </x:c>
      <x:c r="F358" s="7" t="str">
        <x:v>Región de Los Ríos</x:v>
      </x:c>
      <x:c r="G358" s="7" t="str">
        <x:v>U. Austral de Chile</x:v>
      </x:c>
      <x:c r="H358" s="7" t="str">
        <x:v>Multidisciplinario (por clasificar)</x:v>
      </x:c>
      <x:c r="I358" s="7" t="str">
        <x:v>Canal digital por localizar</x:v>
      </x:c>
      <x:c r="J358" s="10" t="str"/>
      <x:c r="K358" s="10" t="str">
        <x:v>https://ciudadania.cultura.gob.cl/wp-content/uploads/2025/12/Directorio_Espacios-Culturales-2025_RC.pdf#page=260</x:v>
      </x:c>
      <x:c r="L358" s="7" t="str">
        <x:v>Referencia territorial</x:v>
      </x:c>
      <x:c r="M358" s="7" t="str">
        <x:v>No</x:v>
      </x:c>
      <x:c r="N358" s="7" t="str">
        <x:v>Baja</x:v>
      </x:c>
      <x:c r="O358" s="7" t="str">
        <x:v>Investigación manual</x:v>
      </x:c>
      <x:c r="P358" s="8" t="n">
        <x:v>46270.666666666664</x:v>
      </x:c>
      <x:c r="Q358" s="7" t="str">
        <x:v>Dirección OCR: Campus Isla Teja S/N, U. Austral de Chile. Ficha PDF p. 260.</x:v>
      </x:c>
      <x:c r="R358" s="58" t="str">
        <x:v>Referencia sin agenda</x:v>
      </x:c>
      <x:c r="S358" s="60" t="n">
        <x:v>0</x:v>
      </x:c>
      <x:c r="T358" s="58" t="str">
        <x:v>alta</x:v>
      </x:c>
      <x:c r="U358" s="60"/>
      <x:c r="V358" s="58" t="str">
        <x:v>Sin dato</x:v>
      </x:c>
      <x:c r="W358" s="64" t="str"/>
      <x:c r="X358" s="62" t="n">
        <x:v>46271.05877363426</x:v>
      </x:c>
      <x:c r="Y358" s="58" t="str">
        <x:v>No es todavía una fuente digital; conservar como pista territorial.</x:v>
      </x:c>
    </x:row>
    <x:row r="359" ht="42" customHeight="1">
      <x:c r="A359" s="9" t="str">
        <x:v>CL-FUE-0358</x:v>
      </x:c>
      <x:c r="B359" s="7" t="str">
        <x:v>Espacio cultural (ficha 261)</x:v>
      </x:c>
      <x:c r="C359" s="7" t="str">
        <x:v>Espacio cultural (ficha 261)</x:v>
      </x:c>
      <x:c r="D359" s="7" t="str">
        <x:v>Espacio cultural del directorio oficial</x:v>
      </x:c>
      <x:c r="E359" s="7" t="str">
        <x:v>Comunal/local</x:v>
      </x:c>
      <x:c r="F359" s="7" t="str">
        <x:v>Región de Los Ríos</x:v>
      </x:c>
      <x:c r="G359" s="7" t="str">
        <x:v>Paillaco</x:v>
      </x:c>
      <x:c r="H359" s="7" t="str">
        <x:v>Patrimonio</x:v>
      </x:c>
      <x:c r="I359" s="7" t="str">
        <x:v>Canal digital por localizar</x:v>
      </x:c>
      <x:c r="J359" s="10" t="str"/>
      <x:c r="K359" s="10" t="str">
        <x:v>https://ciudadania.cultura.gob.cl/wp-content/uploads/2025/12/Directorio_Espacios-Culturales-2025_RC.pdf#page=261</x:v>
      </x:c>
      <x:c r="L359" s="7" t="str">
        <x:v>Referencia territorial</x:v>
      </x:c>
      <x:c r="M359" s="7" t="str">
        <x:v>No</x:v>
      </x:c>
      <x:c r="N359" s="7" t="str">
        <x:v>Baja</x:v>
      </x:c>
      <x:c r="O359" s="7" t="str">
        <x:v>Investigación manual</x:v>
      </x:c>
      <x:c r="P359" s="8" t="n">
        <x:v>46270.666666666664</x:v>
      </x:c>
      <x:c r="Q359" s="7" t="str">
        <x:v>Dirección OCR: Camilo Henriquez 257, Paillaco. Ficha PDF p. 261.</x:v>
      </x:c>
      <x:c r="R359" s="58" t="str">
        <x:v>Referencia sin agenda</x:v>
      </x:c>
      <x:c r="S359" s="60" t="n">
        <x:v>0</x:v>
      </x:c>
      <x:c r="T359" s="58" t="str">
        <x:v>alta</x:v>
      </x:c>
      <x:c r="U359" s="60"/>
      <x:c r="V359" s="58" t="str">
        <x:v>Sin dato</x:v>
      </x:c>
      <x:c r="W359" s="64" t="str"/>
      <x:c r="X359" s="62" t="n">
        <x:v>46271.05877363426</x:v>
      </x:c>
      <x:c r="Y359" s="58" t="str">
        <x:v>No es todavía una fuente digital; conservar como pista territorial.</x:v>
      </x:c>
    </x:row>
    <x:row r="360" ht="42" customHeight="1">
      <x:c r="A360" s="9" t="str">
        <x:v>CL-FUE-0359</x:v>
      </x:c>
      <x:c r="B360" s="7" t="str">
        <x:v>Cine y Teatro Municipal</x:v>
      </x:c>
      <x:c r="C360" s="7" t="str">
        <x:v>Cine y Teatro Municipal</x:v>
      </x:c>
      <x:c r="D360" s="7" t="str">
        <x:v>Espacio cultural del directorio oficial</x:v>
      </x:c>
      <x:c r="E360" s="7" t="str">
        <x:v>Comunal/local</x:v>
      </x:c>
      <x:c r="F360" s="7" t="str">
        <x:v>Región de Los Ríos</x:v>
      </x:c>
      <x:c r="G360" s="7" t="str">
        <x:v>Rio Bueno</x:v>
      </x:c>
      <x:c r="H360" s="7" t="str">
        <x:v>Artes escénicas; Teatro</x:v>
      </x:c>
      <x:c r="I360" s="7" t="str">
        <x:v>Canal digital por localizar</x:v>
      </x:c>
      <x:c r="J360" s="10" t="str"/>
      <x:c r="K360" s="10" t="str">
        <x:v>https://ciudadania.cultura.gob.cl/wp-content/uploads/2025/12/Directorio_Espacios-Culturales-2025_RC.pdf#page=262</x:v>
      </x:c>
      <x:c r="L360" s="7" t="str">
        <x:v>Referencia territorial</x:v>
      </x:c>
      <x:c r="M360" s="7" t="str">
        <x:v>No</x:v>
      </x:c>
      <x:c r="N360" s="7" t="str">
        <x:v>Baja</x:v>
      </x:c>
      <x:c r="O360" s="7" t="str">
        <x:v>Investigación manual</x:v>
      </x:c>
      <x:c r="P360" s="8" t="n">
        <x:v>46270.666666666664</x:v>
      </x:c>
      <x:c r="Q360" s="7" t="str">
        <x:v>Dirección OCR: Independencia s/n, Rio Bueno. Ficha PDF p. 262.</x:v>
      </x:c>
      <x:c r="R360" s="58" t="str">
        <x:v>Referencia sin agenda</x:v>
      </x:c>
      <x:c r="S360" s="60" t="n">
        <x:v>0</x:v>
      </x:c>
      <x:c r="T360" s="58" t="str">
        <x:v>alta</x:v>
      </x:c>
      <x:c r="U360" s="60"/>
      <x:c r="V360" s="58" t="str">
        <x:v>Sin dato</x:v>
      </x:c>
      <x:c r="W360" s="64" t="str"/>
      <x:c r="X360" s="62" t="n">
        <x:v>46271.05877363426</x:v>
      </x:c>
      <x:c r="Y360" s="58" t="str">
        <x:v>No es todavía una fuente digital; conservar como pista territorial.</x:v>
      </x:c>
    </x:row>
    <x:row r="361" ht="42" customHeight="1">
      <x:c r="A361" s="9" t="str">
        <x:v>CL-FUE-0360</x:v>
      </x:c>
      <x:c r="B361" s="7" t="str">
        <x:v>Casa de la Cultura de Mariquina</x:v>
      </x:c>
      <x:c r="C361" s="7" t="str">
        <x:v>Casa de la Cultura de Mariquina</x:v>
      </x:c>
      <x:c r="D361" s="7" t="str">
        <x:v>Espacio cultural del directorio oficial</x:v>
      </x:c>
      <x:c r="E361" s="7" t="str">
        <x:v>Comunal/local</x:v>
      </x:c>
      <x:c r="F361" s="7" t="str">
        <x:v>Región de Los Ríos</x:v>
      </x:c>
      <x:c r="G361" s="7" t="str">
        <x:v>Mariquina</x:v>
      </x:c>
      <x:c r="H361" s="7" t="str">
        <x:v>Patrimonio</x:v>
      </x:c>
      <x:c r="I361" s="7" t="str">
        <x:v>Canal digital por localizar</x:v>
      </x:c>
      <x:c r="J361" s="10" t="str"/>
      <x:c r="K361" s="10" t="str">
        <x:v>https://ciudadania.cultura.gob.cl/wp-content/uploads/2025/12/Directorio_Espacios-Culturales-2025_RC.pdf#page=263</x:v>
      </x:c>
      <x:c r="L361" s="7" t="str">
        <x:v>Referencia territorial</x:v>
      </x:c>
      <x:c r="M361" s="7" t="str">
        <x:v>No</x:v>
      </x:c>
      <x:c r="N361" s="7" t="str">
        <x:v>Baja</x:v>
      </x:c>
      <x:c r="O361" s="7" t="str">
        <x:v>Investigación manual</x:v>
      </x:c>
      <x:c r="P361" s="8" t="n">
        <x:v>46270.666666666664</x:v>
      </x:c>
      <x:c r="Q361" s="7" t="str">
        <x:v>Dirección OCR: Carlos Acharan 184, Mariquina. Ficha PDF p. 263.</x:v>
      </x:c>
      <x:c r="R361" s="58" t="str">
        <x:v>Referencia sin agenda</x:v>
      </x:c>
      <x:c r="S361" s="60" t="n">
        <x:v>0</x:v>
      </x:c>
      <x:c r="T361" s="58" t="str">
        <x:v>alta</x:v>
      </x:c>
      <x:c r="U361" s="60"/>
      <x:c r="V361" s="58" t="str">
        <x:v>Sin dato</x:v>
      </x:c>
      <x:c r="W361" s="64" t="str"/>
      <x:c r="X361" s="62" t="n">
        <x:v>46271.05877363426</x:v>
      </x:c>
      <x:c r="Y361" s="58" t="str">
        <x:v>No es todavía una fuente digital; conservar como pista territorial.</x:v>
      </x:c>
    </x:row>
    <x:row r="362" ht="42" customHeight="1">
      <x:c r="A362" s="9" t="str">
        <x:v>CL-FUE-0361</x:v>
      </x:c>
      <x:c r="B362" s="7" t="str">
        <x:v>Corporacion Cultural de Osorno</x:v>
      </x:c>
      <x:c r="C362" s="7" t="str">
        <x:v>Corporacion Cultural de Osorno</x:v>
      </x:c>
      <x:c r="D362" s="7" t="str">
        <x:v>Espacio cultural del directorio oficial</x:v>
      </x:c>
      <x:c r="E362" s="7" t="str">
        <x:v>Comunal/local</x:v>
      </x:c>
      <x:c r="F362" s="7" t="str">
        <x:v>Región de Los Lagos</x:v>
      </x:c>
      <x:c r="G362" s="7" t="str"/>
      <x:c r="H362" s="7" t="str">
        <x:v>Multidisciplinario (por clasificar)</x:v>
      </x:c>
      <x:c r="I362" s="7" t="str">
        <x:v>Canal digital por localizar</x:v>
      </x:c>
      <x:c r="J362" s="10" t="str"/>
      <x:c r="K362" s="10" t="str">
        <x:v>https://ciudadania.cultura.gob.cl/wp-content/uploads/2025/12/Directorio_Espacios-Culturales-2025_RC.pdf#page=264</x:v>
      </x:c>
      <x:c r="L362" s="7" t="str">
        <x:v>Referencia territorial</x:v>
      </x:c>
      <x:c r="M362" s="7" t="str">
        <x:v>No</x:v>
      </x:c>
      <x:c r="N362" s="7" t="str">
        <x:v>Baja</x:v>
      </x:c>
      <x:c r="O362" s="7" t="str">
        <x:v>Investigación manual</x:v>
      </x:c>
      <x:c r="P362" s="8" t="n">
        <x:v>46270.666666666664</x:v>
      </x:c>
      <x:c r="Q362" s="7" t="str">
        <x:v>Dirección OCR: Manuel Antonio Matta 556. Ficha PDF p. 264.</x:v>
      </x:c>
      <x:c r="R362" s="58" t="str">
        <x:v>Referencia sin agenda</x:v>
      </x:c>
      <x:c r="S362" s="60" t="n">
        <x:v>0</x:v>
      </x:c>
      <x:c r="T362" s="58" t="str">
        <x:v>alta</x:v>
      </x:c>
      <x:c r="U362" s="60"/>
      <x:c r="V362" s="58" t="str">
        <x:v>Sin dato</x:v>
      </x:c>
      <x:c r="W362" s="64" t="str"/>
      <x:c r="X362" s="62" t="n">
        <x:v>46271.05877363426</x:v>
      </x:c>
      <x:c r="Y362" s="58" t="str">
        <x:v>No es todavía una fuente digital; conservar como pista territorial.</x:v>
      </x:c>
    </x:row>
    <x:row r="363" ht="42" customHeight="1">
      <x:c r="A363" s="9" t="str">
        <x:v>CL-FUE-0362</x:v>
      </x:c>
      <x:c r="B363" s="7" t="str">
        <x:v>Espacio cultural (ficha 265)</x:v>
      </x:c>
      <x:c r="C363" s="7" t="str">
        <x:v>Espacio cultural (ficha 265)</x:v>
      </x:c>
      <x:c r="D363" s="7" t="str">
        <x:v>Espacio cultural del directorio oficial</x:v>
      </x:c>
      <x:c r="E363" s="7" t="str">
        <x:v>Comunal/local</x:v>
      </x:c>
      <x:c r="F363" s="7" t="str">
        <x:v>Región de Los Lagos</x:v>
      </x:c>
      <x:c r="G363" s="7" t="str">
        <x:v>Puerto Montt</x:v>
      </x:c>
      <x:c r="H363" s="7" t="str">
        <x:v>Multidisciplinario (por clasificar)</x:v>
      </x:c>
      <x:c r="I363" s="7" t="str">
        <x:v>Canal digital por localizar</x:v>
      </x:c>
      <x:c r="J363" s="10" t="str"/>
      <x:c r="K363" s="10" t="str">
        <x:v>https://ciudadania.cultura.gob.cl/wp-content/uploads/2025/12/Directorio_Espacios-Culturales-2025_RC.pdf#page=265</x:v>
      </x:c>
      <x:c r="L363" s="7" t="str">
        <x:v>Referencia territorial</x:v>
      </x:c>
      <x:c r="M363" s="7" t="str">
        <x:v>No</x:v>
      </x:c>
      <x:c r="N363" s="7" t="str">
        <x:v>Baja</x:v>
      </x:c>
      <x:c r="O363" s="7" t="str">
        <x:v>Investigación manual</x:v>
      </x:c>
      <x:c r="P363" s="8" t="n">
        <x:v>46270.666666666664</x:v>
      </x:c>
      <x:c r="Q363" s="7" t="str">
        <x:v>Dirección OCR: Dr Fonck 326, Barrio Puerto, Melipulli, Puerto Montt. Ficha PDF p. 265.</x:v>
      </x:c>
      <x:c r="R363" s="58" t="str">
        <x:v>Referencia sin agenda</x:v>
      </x:c>
      <x:c r="S363" s="60" t="n">
        <x:v>0</x:v>
      </x:c>
      <x:c r="T363" s="58" t="str">
        <x:v>alta</x:v>
      </x:c>
      <x:c r="U363" s="60"/>
      <x:c r="V363" s="58" t="str">
        <x:v>Sin dato</x:v>
      </x:c>
      <x:c r="W363" s="64" t="str"/>
      <x:c r="X363" s="62" t="n">
        <x:v>46271.05877363426</x:v>
      </x:c>
      <x:c r="Y363" s="58" t="str">
        <x:v>No es todavía una fuente digital; conservar como pista territorial.</x:v>
      </x:c>
    </x:row>
    <x:row r="364" ht="42" customHeight="1">
      <x:c r="A364" s="9" t="str">
        <x:v>CL-FUE-0363</x:v>
      </x:c>
      <x:c r="B364" s="7" t="str">
        <x:v>Museo Historico Juan Pablo II de Puerto Montt</x:v>
      </x:c>
      <x:c r="C364" s="7" t="str">
        <x:v>Museo Historico Juan Pablo II de Puerto Montt</x:v>
      </x:c>
      <x:c r="D364" s="7" t="str">
        <x:v>Espacio cultural del directorio oficial</x:v>
      </x:c>
      <x:c r="E364" s="7" t="str">
        <x:v>Comunal/local</x:v>
      </x:c>
      <x:c r="F364" s="7" t="str">
        <x:v>Región de Los Lagos</x:v>
      </x:c>
      <x:c r="G364" s="7" t="str"/>
      <x:c r="H364" s="7" t="str">
        <x:v>Memoria y DD.HH.</x:v>
      </x:c>
      <x:c r="I364" s="7" t="str">
        <x:v>Canal digital por localizar</x:v>
      </x:c>
      <x:c r="J364" s="10" t="str"/>
      <x:c r="K364" s="10" t="str">
        <x:v>https://ciudadania.cultura.gob.cl/wp-content/uploads/2025/12/Directorio_Espacios-Culturales-2025_RC.pdf#page=266</x:v>
      </x:c>
      <x:c r="L364" s="7" t="str">
        <x:v>Referencia territorial</x:v>
      </x:c>
      <x:c r="M364" s="7" t="str">
        <x:v>No</x:v>
      </x:c>
      <x:c r="N364" s="7" t="str">
        <x:v>Baja</x:v>
      </x:c>
      <x:c r="O364" s="7" t="str">
        <x:v>Investigación manual</x:v>
      </x:c>
      <x:c r="P364" s="8" t="n">
        <x:v>46270.666666666664</x:v>
      </x:c>
      <x:c r="Q364" s="7" t="str">
        <x:v>Dirección OCR: Diego Portales 997. Ficha PDF p. 266.</x:v>
      </x:c>
      <x:c r="R364" s="58" t="str">
        <x:v>Referencia sin agenda</x:v>
      </x:c>
      <x:c r="S364" s="60" t="n">
        <x:v>0</x:v>
      </x:c>
      <x:c r="T364" s="58" t="str">
        <x:v>alta</x:v>
      </x:c>
      <x:c r="U364" s="60"/>
      <x:c r="V364" s="58" t="str">
        <x:v>Sin dato</x:v>
      </x:c>
      <x:c r="W364" s="64" t="str"/>
      <x:c r="X364" s="62" t="n">
        <x:v>46271.05877363426</x:v>
      </x:c>
      <x:c r="Y364" s="58" t="str">
        <x:v>No es todavía una fuente digital; conservar como pista territorial.</x:v>
      </x:c>
    </x:row>
    <x:row r="365" ht="42" customHeight="1">
      <x:c r="A365" s="9" t="str">
        <x:v>CL-FUE-0364</x:v>
      </x:c>
      <x:c r="B365" s="7" t="str">
        <x:v>Centro de Interpretacion Cultural</x:v>
      </x:c>
      <x:c r="C365" s="7" t="str">
        <x:v>Centro de Interpretacion Cultural</x:v>
      </x:c>
      <x:c r="D365" s="7" t="str">
        <x:v>Espacio cultural del directorio oficial</x:v>
      </x:c>
      <x:c r="E365" s="7" t="str">
        <x:v>Comunal/local</x:v>
      </x:c>
      <x:c r="F365" s="7" t="str">
        <x:v>Región de Los Lagos</x:v>
      </x:c>
      <x:c r="G365" s="7" t="str">
        <x:v>Puerto Montt</x:v>
      </x:c>
      <x:c r="H365" s="7" t="str">
        <x:v>Multidisciplinario (por clasificar)</x:v>
      </x:c>
      <x:c r="I365" s="7" t="str">
        <x:v>Canal digital por localizar</x:v>
      </x:c>
      <x:c r="J365" s="10" t="str"/>
      <x:c r="K365" s="10" t="str">
        <x:v>https://ciudadania.cultura.gob.cl/wp-content/uploads/2025/12/Directorio_Espacios-Culturales-2025_RC.pdf#page=267</x:v>
      </x:c>
      <x:c r="L365" s="7" t="str">
        <x:v>Referencia territorial</x:v>
      </x:c>
      <x:c r="M365" s="7" t="str">
        <x:v>No</x:v>
      </x:c>
      <x:c r="N365" s="7" t="str">
        <x:v>Baja</x:v>
      </x:c>
      <x:c r="O365" s="7" t="str">
        <x:v>Investigación manual</x:v>
      </x:c>
      <x:c r="P365" s="8" t="n">
        <x:v>46270.666666666664</x:v>
      </x:c>
      <x:c r="Q365" s="7" t="str">
        <x:v>Dirección OCR: Rancagua 210, Puerto Montt. Ficha PDF p. 267.</x:v>
      </x:c>
      <x:c r="R365" s="58" t="str">
        <x:v>Referencia sin agenda</x:v>
      </x:c>
      <x:c r="S365" s="60" t="n">
        <x:v>0</x:v>
      </x:c>
      <x:c r="T365" s="58" t="str">
        <x:v>alta</x:v>
      </x:c>
      <x:c r="U365" s="60"/>
      <x:c r="V365" s="58" t="str">
        <x:v>Sin dato</x:v>
      </x:c>
      <x:c r="W365" s="64" t="str"/>
      <x:c r="X365" s="62" t="n">
        <x:v>46271.05877364583</x:v>
      </x:c>
      <x:c r="Y365" s="58" t="str">
        <x:v>No es todavía una fuente digital; conservar como pista territorial.</x:v>
      </x:c>
    </x:row>
    <x:row r="366" ht="42" customHeight="1">
      <x:c r="A366" s="9" t="str">
        <x:v>CL-FUE-0365</x:v>
      </x:c>
      <x:c r="B366" s="7" t="str">
        <x:v>Centro Cultural Los Muermos</x:v>
      </x:c>
      <x:c r="C366" s="7" t="str">
        <x:v>Centro Cultural Los Muermos</x:v>
      </x:c>
      <x:c r="D366" s="7" t="str">
        <x:v>Espacio cultural del directorio oficial</x:v>
      </x:c>
      <x:c r="E366" s="7" t="str">
        <x:v>Comunal/local</x:v>
      </x:c>
      <x:c r="F366" s="7" t="str">
        <x:v>Región de Los Lagos</x:v>
      </x:c>
      <x:c r="G366" s="7" t="str">
        <x:v>Los Muermos</x:v>
      </x:c>
      <x:c r="H366" s="7" t="str">
        <x:v>Multidisciplinario (por clasificar)</x:v>
      </x:c>
      <x:c r="I366" s="7" t="str">
        <x:v>Canal digital por localizar</x:v>
      </x:c>
      <x:c r="J366" s="10" t="str"/>
      <x:c r="K366" s="10" t="str">
        <x:v>https://ciudadania.cultura.gob.cl/wp-content/uploads/2025/12/Directorio_Espacios-Culturales-2025_RC.pdf#page=268</x:v>
      </x:c>
      <x:c r="L366" s="7" t="str">
        <x:v>Referencia territorial</x:v>
      </x:c>
      <x:c r="M366" s="7" t="str">
        <x:v>No</x:v>
      </x:c>
      <x:c r="N366" s="7" t="str">
        <x:v>Baja</x:v>
      </x:c>
      <x:c r="O366" s="7" t="str">
        <x:v>Investigación manual</x:v>
      </x:c>
      <x:c r="P366" s="8" t="n">
        <x:v>46270.666666666664</x:v>
      </x:c>
      <x:c r="Q366" s="7" t="str">
        <x:v>Dirección OCR: Calle Bernardo O'Higgins s/n, Los Muermos. Ficha PDF p. 268.</x:v>
      </x:c>
      <x:c r="R366" s="58" t="str">
        <x:v>Referencia sin agenda</x:v>
      </x:c>
      <x:c r="S366" s="60" t="n">
        <x:v>0</x:v>
      </x:c>
      <x:c r="T366" s="58" t="str">
        <x:v>alta</x:v>
      </x:c>
      <x:c r="U366" s="60"/>
      <x:c r="V366" s="58" t="str">
        <x:v>Sin dato</x:v>
      </x:c>
      <x:c r="W366" s="64" t="str"/>
      <x:c r="X366" s="62" t="n">
        <x:v>46271.05877364583</x:v>
      </x:c>
      <x:c r="Y366" s="58" t="str">
        <x:v>No es todavía una fuente digital; conservar como pista territorial.</x:v>
      </x:c>
    </x:row>
    <x:row r="367" ht="42" customHeight="1">
      <x:c r="A367" s="9" t="str">
        <x:v>CL-FUE-0366</x:v>
      </x:c>
      <x:c r="B367" s="7" t="str">
        <x:v>Ilustre Municipalidad de Purranque</x:v>
      </x:c>
      <x:c r="C367" s="7" t="str">
        <x:v>Ilustre Municipalidad de Purranque</x:v>
      </x:c>
      <x:c r="D367" s="7" t="str">
        <x:v>Espacio cultural del directorio oficial</x:v>
      </x:c>
      <x:c r="E367" s="7" t="str">
        <x:v>Comunal/local</x:v>
      </x:c>
      <x:c r="F367" s="7" t="str">
        <x:v>Región de Los Lagos</x:v>
      </x:c>
      <x:c r="G367" s="7" t="str">
        <x:v>Purranque</x:v>
      </x:c>
      <x:c r="H367" s="7" t="str">
        <x:v>Artesanía; Artes escénicas; Audiovisual; Interculturalidad</x:v>
      </x:c>
      <x:c r="I367" s="7" t="str">
        <x:v>Canal digital por localizar</x:v>
      </x:c>
      <x:c r="J367" s="10" t="str"/>
      <x:c r="K367" s="10" t="str">
        <x:v>https://ciudadania.cultura.gob.cl/wp-content/uploads/2025/12/Directorio_Espacios-Culturales-2025_RC.pdf#page=269</x:v>
      </x:c>
      <x:c r="L367" s="7" t="str">
        <x:v>Referencia territorial</x:v>
      </x:c>
      <x:c r="M367" s="7" t="str">
        <x:v>No</x:v>
      </x:c>
      <x:c r="N367" s="7" t="str">
        <x:v>Baja</x:v>
      </x:c>
      <x:c r="O367" s="7" t="str">
        <x:v>Investigación manual</x:v>
      </x:c>
      <x:c r="P367" s="8" t="n">
        <x:v>46270.666666666664</x:v>
      </x:c>
      <x:c r="Q367" s="7" t="str">
        <x:v>Dirección OCR: 21 de Mayo 28, Purranque. Ficha PDF p. 269.</x:v>
      </x:c>
      <x:c r="R367" s="58" t="str">
        <x:v>Referencia sin agenda</x:v>
      </x:c>
      <x:c r="S367" s="60" t="n">
        <x:v>0</x:v>
      </x:c>
      <x:c r="T367" s="58" t="str">
        <x:v>alta</x:v>
      </x:c>
      <x:c r="U367" s="60"/>
      <x:c r="V367" s="58" t="str">
        <x:v>Sin dato</x:v>
      </x:c>
      <x:c r="W367" s="64" t="str"/>
      <x:c r="X367" s="62" t="n">
        <x:v>46271.05877364583</x:v>
      </x:c>
      <x:c r="Y367" s="58" t="str">
        <x:v>No es todavía una fuente digital; conservar como pista territorial.</x:v>
      </x:c>
    </x:row>
    <x:row r="368" ht="42" customHeight="1">
      <x:c r="A368" s="9" t="str">
        <x:v>CL-FUE-0367</x:v>
      </x:c>
      <x:c r="B368" s="7" t="str">
        <x:v>Centro de Arte Molino Machmar</x:v>
      </x:c>
      <x:c r="C368" s="7" t="str">
        <x:v>Centro de Arte Molino Machmar</x:v>
      </x:c>
      <x:c r="D368" s="7" t="str">
        <x:v>Espacio cultural del directorio oficial</x:v>
      </x:c>
      <x:c r="E368" s="7" t="str">
        <x:v>Comunal/local</x:v>
      </x:c>
      <x:c r="F368" s="7" t="str">
        <x:v>Región de Los Lagos</x:v>
      </x:c>
      <x:c r="G368" s="7" t="str">
        <x:v>Puerto Varas</x:v>
      </x:c>
      <x:c r="H368" s="7" t="str">
        <x:v>Patrimonio</x:v>
      </x:c>
      <x:c r="I368" s="7" t="str">
        <x:v>Canal digital por localizar</x:v>
      </x:c>
      <x:c r="J368" s="10" t="str"/>
      <x:c r="K368" s="10" t="str">
        <x:v>https://ciudadania.cultura.gob.cl/wp-content/uploads/2025/12/Directorio_Espacios-Culturales-2025_RC.pdf#page=270</x:v>
      </x:c>
      <x:c r="L368" s="7" t="str">
        <x:v>Referencia territorial</x:v>
      </x:c>
      <x:c r="M368" s="7" t="str">
        <x:v>No</x:v>
      </x:c>
      <x:c r="N368" s="7" t="str">
        <x:v>Baja</x:v>
      </x:c>
      <x:c r="O368" s="7" t="str">
        <x:v>Investigación manual</x:v>
      </x:c>
      <x:c r="P368" s="8" t="n">
        <x:v>46270.666666666664</x:v>
      </x:c>
      <x:c r="Q368" s="7" t="str">
        <x:v>Dirección OCR: Avenida Gramado 1100, Puerto Varas. Ficha PDF p. 270.</x:v>
      </x:c>
      <x:c r="R368" s="58" t="str">
        <x:v>Referencia sin agenda</x:v>
      </x:c>
      <x:c r="S368" s="60" t="n">
        <x:v>0</x:v>
      </x:c>
      <x:c r="T368" s="58" t="str">
        <x:v>alta</x:v>
      </x:c>
      <x:c r="U368" s="60"/>
      <x:c r="V368" s="58" t="str">
        <x:v>Sin dato</x:v>
      </x:c>
      <x:c r="W368" s="64" t="str"/>
      <x:c r="X368" s="62" t="n">
        <x:v>46271.05877364583</x:v>
      </x:c>
      <x:c r="Y368" s="58" t="str">
        <x:v>No es todavía una fuente digital; conservar como pista territorial.</x:v>
      </x:c>
    </x:row>
    <x:row r="369" ht="42" customHeight="1">
      <x:c r="A369" s="9" t="str">
        <x:v>CL-FUE-0368</x:v>
      </x:c>
      <x:c r="B369" s="7" t="str">
        <x:v>Espacio cultural (ficha 271)</x:v>
      </x:c>
      <x:c r="C369" s="7" t="str">
        <x:v>Espacio cultural (ficha 271)</x:v>
      </x:c>
      <x:c r="D369" s="7" t="str">
        <x:v>Espacio cultural del directorio oficial</x:v>
      </x:c>
      <x:c r="E369" s="7" t="str">
        <x:v>Comunal/local</x:v>
      </x:c>
      <x:c r="F369" s="7" t="str">
        <x:v>Región de Los Lagos</x:v>
      </x:c>
      <x:c r="G369" s="7" t="str">
        <x:v>Puerto Montt</x:v>
      </x:c>
      <x:c r="H369" s="7" t="str">
        <x:v>Multidisciplinario (por clasificar)</x:v>
      </x:c>
      <x:c r="I369" s="7" t="str">
        <x:v>Canal digital por localizar</x:v>
      </x:c>
      <x:c r="J369" s="10" t="str"/>
      <x:c r="K369" s="10" t="str">
        <x:v>https://ciudadania.cultura.gob.cl/wp-content/uploads/2025/12/Directorio_Espacios-Culturales-2025_RC.pdf#page=271</x:v>
      </x:c>
      <x:c r="L369" s="7" t="str">
        <x:v>Referencia territorial</x:v>
      </x:c>
      <x:c r="M369" s="7" t="str">
        <x:v>No</x:v>
      </x:c>
      <x:c r="N369" s="7" t="str">
        <x:v>Baja</x:v>
      </x:c>
      <x:c r="O369" s="7" t="str">
        <x:v>Investigación manual</x:v>
      </x:c>
      <x:c r="P369" s="8" t="n">
        <x:v>46270.666666666664</x:v>
      </x:c>
      <x:c r="Q369" s="7" t="str">
        <x:v>Dirección OCR: Francisco Bilbao 365, Puerto Montt. Ficha PDF p. 271.</x:v>
      </x:c>
      <x:c r="R369" s="58" t="str">
        <x:v>Referencia sin agenda</x:v>
      </x:c>
      <x:c r="S369" s="60" t="n">
        <x:v>0</x:v>
      </x:c>
      <x:c r="T369" s="58" t="str">
        <x:v>alta</x:v>
      </x:c>
      <x:c r="U369" s="60"/>
      <x:c r="V369" s="58" t="str">
        <x:v>Sin dato</x:v>
      </x:c>
      <x:c r="W369" s="64" t="str"/>
      <x:c r="X369" s="62" t="n">
        <x:v>46271.05877364583</x:v>
      </x:c>
      <x:c r="Y369" s="58" t="str">
        <x:v>No es todavía una fuente digital; conservar como pista territorial.</x:v>
      </x:c>
    </x:row>
    <x:row r="370" ht="42" customHeight="1">
      <x:c r="A370" s="9" t="str">
        <x:v>CL-FUE-0369</x:v>
      </x:c>
      <x:c r="B370" s="7" t="str">
        <x:v>Espacio cultural (ficha 272)</x:v>
      </x:c>
      <x:c r="C370" s="7" t="str">
        <x:v>Espacio cultural (ficha 272)</x:v>
      </x:c>
      <x:c r="D370" s="7" t="str">
        <x:v>Espacio cultural del directorio oficial</x:v>
      </x:c>
      <x:c r="E370" s="7" t="str">
        <x:v>Comunal/local</x:v>
      </x:c>
      <x:c r="F370" s="7" t="str">
        <x:v>Región de Los Lagos</x:v>
      </x:c>
      <x:c r="G370" s="7" t="str">
        <x:v>Puerto Montt</x:v>
      </x:c>
      <x:c r="H370" s="7" t="str">
        <x:v>Artes escénicas; Artes visuales; Patrimonio</x:v>
      </x:c>
      <x:c r="I370" s="7" t="str">
        <x:v>Canal digital por localizar</x:v>
      </x:c>
      <x:c r="J370" s="10" t="str"/>
      <x:c r="K370" s="10" t="str">
        <x:v>https://ciudadania.cultura.gob.cl/wp-content/uploads/2025/12/Directorio_Espacios-Culturales-2025_RC.pdf#page=272</x:v>
      </x:c>
      <x:c r="L370" s="7" t="str">
        <x:v>Referencia territorial</x:v>
      </x:c>
      <x:c r="M370" s="7" t="str">
        <x:v>No</x:v>
      </x:c>
      <x:c r="N370" s="7" t="str">
        <x:v>Baja</x:v>
      </x:c>
      <x:c r="O370" s="7" t="str">
        <x:v>Investigación manual</x:v>
      </x:c>
      <x:c r="P370" s="8" t="n">
        <x:v>46270.666666666664</x:v>
      </x:c>
      <x:c r="Q370" s="7" t="str">
        <x:v>Dirección OCR: Quillota 116, Puerto Montt. Ficha PDF p. 272.</x:v>
      </x:c>
      <x:c r="R370" s="58" t="str">
        <x:v>Referencia sin agenda</x:v>
      </x:c>
      <x:c r="S370" s="60" t="n">
        <x:v>0</x:v>
      </x:c>
      <x:c r="T370" s="58" t="str">
        <x:v>alta</x:v>
      </x:c>
      <x:c r="U370" s="60"/>
      <x:c r="V370" s="58" t="str">
        <x:v>Sin dato</x:v>
      </x:c>
      <x:c r="W370" s="64" t="str"/>
      <x:c r="X370" s="62" t="n">
        <x:v>46271.05877364583</x:v>
      </x:c>
      <x:c r="Y370" s="58" t="str">
        <x:v>No es todavía una fuente digital; conservar como pista territorial.</x:v>
      </x:c>
    </x:row>
    <x:row r="371" ht="42" customHeight="1">
      <x:c r="A371" s="9" t="str">
        <x:v>CL-FUE-0370</x:v>
      </x:c>
      <x:c r="B371" s="7" t="str">
        <x:v>Centro Cultural Bosque Nativo</x:v>
      </x:c>
      <x:c r="C371" s="7" t="str">
        <x:v>Centro Cultural Bosque Nativo</x:v>
      </x:c>
      <x:c r="D371" s="7" t="str">
        <x:v>Espacio cultural del directorio oficial</x:v>
      </x:c>
      <x:c r="E371" s="7" t="str">
        <x:v>Comunal/local</x:v>
      </x:c>
      <x:c r="F371" s="7" t="str">
        <x:v>Región de Los Lagos</x:v>
      </x:c>
      <x:c r="G371" s="7" t="str">
        <x:v>Puerto Varas</x:v>
      </x:c>
      <x:c r="H371" s="7" t="str">
        <x:v>Artes visuales; Música; Patrimonio</x:v>
      </x:c>
      <x:c r="I371" s="7" t="str">
        <x:v>Canal digital por localizar</x:v>
      </x:c>
      <x:c r="J371" s="10" t="str"/>
      <x:c r="K371" s="10" t="str">
        <x:v>https://ciudadania.cultura.gob.cl/wp-content/uploads/2025/12/Directorio_Espacios-Culturales-2025_RC.pdf#page=273</x:v>
      </x:c>
      <x:c r="L371" s="7" t="str">
        <x:v>Referencia territorial</x:v>
      </x:c>
      <x:c r="M371" s="7" t="str">
        <x:v>No</x:v>
      </x:c>
      <x:c r="N371" s="7" t="str">
        <x:v>Baja</x:v>
      </x:c>
      <x:c r="O371" s="7" t="str">
        <x:v>Investigación manual</x:v>
      </x:c>
      <x:c r="P371" s="8" t="n">
        <x:v>46270.666666666664</x:v>
      </x:c>
      <x:c r="Q371" s="7" t="str">
        <x:v>Dirección OCR: Vicente Pérez Rosales 1305, Puerto Varas. Ficha PDF p. 273.</x:v>
      </x:c>
      <x:c r="R371" s="58" t="str">
        <x:v>Referencia sin agenda</x:v>
      </x:c>
      <x:c r="S371" s="60" t="n">
        <x:v>0</x:v>
      </x:c>
      <x:c r="T371" s="58" t="str">
        <x:v>alta</x:v>
      </x:c>
      <x:c r="U371" s="60"/>
      <x:c r="V371" s="58" t="str">
        <x:v>Sin dato</x:v>
      </x:c>
      <x:c r="W371" s="64" t="str"/>
      <x:c r="X371" s="62" t="n">
        <x:v>46271.05877364583</x:v>
      </x:c>
      <x:c r="Y371" s="58" t="str">
        <x:v>No es todavía una fuente digital; conservar como pista territorial.</x:v>
      </x:c>
    </x:row>
    <x:row r="372" ht="42" customHeight="1">
      <x:c r="A372" s="9" t="str">
        <x:v>CL-FUE-0371</x:v>
      </x:c>
      <x:c r="B372" s="7" t="str">
        <x:v>Espacio cultural (ficha 274)</x:v>
      </x:c>
      <x:c r="C372" s="7" t="str">
        <x:v>Espacio cultural (ficha 274)</x:v>
      </x:c>
      <x:c r="D372" s="7" t="str">
        <x:v>Espacio cultural del directorio oficial</x:v>
      </x:c>
      <x:c r="E372" s="7" t="str">
        <x:v>Comunal/local</x:v>
      </x:c>
      <x:c r="F372" s="7" t="str">
        <x:v>Región de Los Lagos</x:v>
      </x:c>
      <x:c r="G372" s="7" t="str">
        <x:v>Puerto Montt</x:v>
      </x:c>
      <x:c r="H372" s="7" t="str">
        <x:v>Artes escénicas; Danza; Literatura; Música; Teatro</x:v>
      </x:c>
      <x:c r="I372" s="7" t="str">
        <x:v>Canal digital por localizar</x:v>
      </x:c>
      <x:c r="J372" s="10" t="str"/>
      <x:c r="K372" s="10" t="str">
        <x:v>https://ciudadania.cultura.gob.cl/wp-content/uploads/2025/12/Directorio_Espacios-Culturales-2025_RC.pdf#page=274</x:v>
      </x:c>
      <x:c r="L372" s="7" t="str">
        <x:v>Referencia territorial</x:v>
      </x:c>
      <x:c r="M372" s="7" t="str">
        <x:v>No</x:v>
      </x:c>
      <x:c r="N372" s="7" t="str">
        <x:v>Baja</x:v>
      </x:c>
      <x:c r="O372" s="7" t="str">
        <x:v>Investigación manual</x:v>
      </x:c>
      <x:c r="P372" s="8" t="n">
        <x:v>46270.666666666664</x:v>
      </x:c>
      <x:c r="Q372" s="7" t="str">
        <x:v>Dirección OCR: Urriola 899, Puerto Montt. Ficha PDF p. 274.</x:v>
      </x:c>
      <x:c r="R372" s="58" t="str">
        <x:v>Referencia sin agenda</x:v>
      </x:c>
      <x:c r="S372" s="60" t="n">
        <x:v>0</x:v>
      </x:c>
      <x:c r="T372" s="58" t="str">
        <x:v>alta</x:v>
      </x:c>
      <x:c r="U372" s="60"/>
      <x:c r="V372" s="58" t="str">
        <x:v>Sin dato</x:v>
      </x:c>
      <x:c r="W372" s="64" t="str"/>
      <x:c r="X372" s="62" t="n">
        <x:v>46271.05877364583</x:v>
      </x:c>
      <x:c r="Y372" s="58" t="str">
        <x:v>No es todavía una fuente digital; conservar como pista territorial.</x:v>
      </x:c>
    </x:row>
    <x:row r="373" ht="42" customHeight="1">
      <x:c r="A373" s="9" t="str">
        <x:v>CL-FUE-0372</x:v>
      </x:c>
      <x:c r="B373" s="7" t="str">
        <x:v>Corporaci6on Cultural Grupo Arte</x:v>
      </x:c>
      <x:c r="C373" s="7" t="str">
        <x:v>Corporaci6on Cultural Grupo Arte</x:v>
      </x:c>
      <x:c r="D373" s="7" t="str">
        <x:v>Espacio cultural del directorio oficial</x:v>
      </x:c>
      <x:c r="E373" s="7" t="str">
        <x:v>Comunal/local</x:v>
      </x:c>
      <x:c r="F373" s="7" t="str">
        <x:v>Región de Los Lagos</x:v>
      </x:c>
      <x:c r="G373" s="7" t="str">
        <x:v>Osorno</x:v>
      </x:c>
      <x:c r="H373" s="7" t="str">
        <x:v>Artes visuales</x:v>
      </x:c>
      <x:c r="I373" s="7" t="str">
        <x:v>Canal digital por localizar</x:v>
      </x:c>
      <x:c r="J373" s="10" t="str"/>
      <x:c r="K373" s="10" t="str">
        <x:v>https://ciudadania.cultura.gob.cl/wp-content/uploads/2025/12/Directorio_Espacios-Culturales-2025_RC.pdf#page=275</x:v>
      </x:c>
      <x:c r="L373" s="7" t="str">
        <x:v>Referencia territorial</x:v>
      </x:c>
      <x:c r="M373" s="7" t="str">
        <x:v>No</x:v>
      </x:c>
      <x:c r="N373" s="7" t="str">
        <x:v>Baja</x:v>
      </x:c>
      <x:c r="O373" s="7" t="str">
        <x:v>Investigación manual</x:v>
      </x:c>
      <x:c r="P373" s="8" t="n">
        <x:v>46270.666666666664</x:v>
      </x:c>
      <x:c r="Q373" s="7" t="str">
        <x:v>Dirección OCR: Manuel Antonio Matta 812, Osorno. Ficha PDF p. 275.</x:v>
      </x:c>
      <x:c r="R373" s="58" t="str">
        <x:v>Referencia sin agenda</x:v>
      </x:c>
      <x:c r="S373" s="60" t="n">
        <x:v>0</x:v>
      </x:c>
      <x:c r="T373" s="58" t="str">
        <x:v>alta</x:v>
      </x:c>
      <x:c r="U373" s="60"/>
      <x:c r="V373" s="58" t="str">
        <x:v>Sin dato</x:v>
      </x:c>
      <x:c r="W373" s="64" t="str"/>
      <x:c r="X373" s="62" t="n">
        <x:v>46271.05877364583</x:v>
      </x:c>
      <x:c r="Y373" s="58" t="str">
        <x:v>No es todavía una fuente digital; conservar como pista territorial.</x:v>
      </x:c>
    </x:row>
    <x:row r="374" ht="42" customHeight="1">
      <x:c r="A374" s="9" t="str">
        <x:v>CL-FUE-0373</x:v>
      </x:c>
      <x:c r="B374" s="7" t="str">
        <x:v>Espacio cultural (ficha 276)</x:v>
      </x:c>
      <x:c r="C374" s="7" t="str">
        <x:v>Espacio cultural (ficha 276)</x:v>
      </x:c>
      <x:c r="D374" s="7" t="str">
        <x:v>Espacio cultural del directorio oficial</x:v>
      </x:c>
      <x:c r="E374" s="7" t="str">
        <x:v>Comunal/local</x:v>
      </x:c>
      <x:c r="F374" s="7" t="str">
        <x:v>Región de Los Lagos</x:v>
      </x:c>
      <x:c r="G374" s="7" t="str">
        <x:v>Ancud</x:v>
      </x:c>
      <x:c r="H374" s="7" t="str">
        <x:v>Multidisciplinario (por clasificar)</x:v>
      </x:c>
      <x:c r="I374" s="7" t="str">
        <x:v>Canal digital por localizar</x:v>
      </x:c>
      <x:c r="J374" s="10" t="str"/>
      <x:c r="K374" s="10" t="str">
        <x:v>https://ciudadania.cultura.gob.cl/wp-content/uploads/2025/12/Directorio_Espacios-Culturales-2025_RC.pdf#page=276</x:v>
      </x:c>
      <x:c r="L374" s="7" t="str">
        <x:v>Referencia territorial</x:v>
      </x:c>
      <x:c r="M374" s="7" t="str">
        <x:v>No</x:v>
      </x:c>
      <x:c r="N374" s="7" t="str">
        <x:v>Baja</x:v>
      </x:c>
      <x:c r="O374" s="7" t="str">
        <x:v>Investigación manual</x:v>
      </x:c>
      <x:c r="P374" s="8" t="n">
        <x:v>46270.666666666664</x:v>
      </x:c>
      <x:c r="Q374" s="7" t="str">
        <x:v>Dirección OCR: Libertad 663, Ancud. Ficha PDF p. 276.</x:v>
      </x:c>
      <x:c r="R374" s="58" t="str">
        <x:v>Referencia sin agenda</x:v>
      </x:c>
      <x:c r="S374" s="60" t="n">
        <x:v>0</x:v>
      </x:c>
      <x:c r="T374" s="58" t="str">
        <x:v>alta</x:v>
      </x:c>
      <x:c r="U374" s="60"/>
      <x:c r="V374" s="58" t="str">
        <x:v>Sin dato</x:v>
      </x:c>
      <x:c r="W374" s="64" t="str"/>
      <x:c r="X374" s="62" t="n">
        <x:v>46271.05877364583</x:v>
      </x:c>
      <x:c r="Y374" s="58" t="str">
        <x:v>No es todavía una fuente digital; conservar como pista territorial.</x:v>
      </x:c>
    </x:row>
    <x:row r="375" ht="42" customHeight="1">
      <x:c r="A375" s="9" t="str">
        <x:v>CL-FUE-0374</x:v>
      </x:c>
      <x:c r="B375" s="7" t="str">
        <x:v>Centro Cultural Municipal de Alerce (CCMA)</x:v>
      </x:c>
      <x:c r="C375" s="7" t="str">
        <x:v>Centro Cultural Municipal de Alerce (CCMA)</x:v>
      </x:c>
      <x:c r="D375" s="7" t="str">
        <x:v>Espacio cultural del directorio oficial</x:v>
      </x:c>
      <x:c r="E375" s="7" t="str">
        <x:v>Comunal/local</x:v>
      </x:c>
      <x:c r="F375" s="7" t="str">
        <x:v>Región de Los Lagos</x:v>
      </x:c>
      <x:c r="G375" s="7" t="str">
        <x:v>Alerce</x:v>
      </x:c>
      <x:c r="H375" s="7" t="str">
        <x:v>Multidisciplinario (por clasificar)</x:v>
      </x:c>
      <x:c r="I375" s="7" t="str">
        <x:v>Canal digital por localizar</x:v>
      </x:c>
      <x:c r="J375" s="10" t="str"/>
      <x:c r="K375" s="10" t="str">
        <x:v>https://ciudadania.cultura.gob.cl/wp-content/uploads/2025/12/Directorio_Espacios-Culturales-2025_RC.pdf#page=277</x:v>
      </x:c>
      <x:c r="L375" s="7" t="str">
        <x:v>Referencia territorial</x:v>
      </x:c>
      <x:c r="M375" s="7" t="str">
        <x:v>No</x:v>
      </x:c>
      <x:c r="N375" s="7" t="str">
        <x:v>Baja</x:v>
      </x:c>
      <x:c r="O375" s="7" t="str">
        <x:v>Investigación manual</x:v>
      </x:c>
      <x:c r="P375" s="8" t="n">
        <x:v>46270.666666666664</x:v>
      </x:c>
      <x:c r="Q375" s="7" t="str">
        <x:v>Dirección OCR: Gabriela Mistral 1004, Alerce. Ficha PDF p. 277.</x:v>
      </x:c>
      <x:c r="R375" s="58" t="str">
        <x:v>Referencia sin agenda</x:v>
      </x:c>
      <x:c r="S375" s="60" t="n">
        <x:v>0</x:v>
      </x:c>
      <x:c r="T375" s="58" t="str">
        <x:v>alta</x:v>
      </x:c>
      <x:c r="U375" s="60"/>
      <x:c r="V375" s="58" t="str">
        <x:v>Sin dato</x:v>
      </x:c>
      <x:c r="W375" s="64" t="str"/>
      <x:c r="X375" s="62" t="n">
        <x:v>46271.05877364583</x:v>
      </x:c>
      <x:c r="Y375" s="58" t="str">
        <x:v>No es todavía una fuente digital; conservar como pista territorial.</x:v>
      </x:c>
    </x:row>
    <x:row r="376" ht="42" customHeight="1">
      <x:c r="A376" s="9" t="str">
        <x:v>CL-FUE-0375</x:v>
      </x:c>
      <x:c r="B376" s="7" t="str">
        <x:v>Mercado Tipico de Hornopirén</x:v>
      </x:c>
      <x:c r="C376" s="7" t="str">
        <x:v>Mercado Tipico de Hornopirén</x:v>
      </x:c>
      <x:c r="D376" s="7" t="str">
        <x:v>Espacio cultural del directorio oficial</x:v>
      </x:c>
      <x:c r="E376" s="7" t="str">
        <x:v>Comunal/local</x:v>
      </x:c>
      <x:c r="F376" s="7" t="str">
        <x:v>Región de Los Lagos</x:v>
      </x:c>
      <x:c r="G376" s="7" t="str">
        <x:v>Hualaihué</x:v>
      </x:c>
      <x:c r="H376" s="7" t="str">
        <x:v>Multidisciplinario (por clasificar)</x:v>
      </x:c>
      <x:c r="I376" s="7" t="str">
        <x:v>Canal digital por localizar</x:v>
      </x:c>
      <x:c r="J376" s="10" t="str"/>
      <x:c r="K376" s="10" t="str">
        <x:v>https://ciudadania.cultura.gob.cl/wp-content/uploads/2025/12/Directorio_Espacios-Culturales-2025_RC.pdf#page=278</x:v>
      </x:c>
      <x:c r="L376" s="7" t="str">
        <x:v>Referencia territorial</x:v>
      </x:c>
      <x:c r="M376" s="7" t="str">
        <x:v>No</x:v>
      </x:c>
      <x:c r="N376" s="7" t="str">
        <x:v>Baja</x:v>
      </x:c>
      <x:c r="O376" s="7" t="str">
        <x:v>Investigación manual</x:v>
      </x:c>
      <x:c r="P376" s="8" t="n">
        <x:v>46270.666666666664</x:v>
      </x:c>
      <x:c r="Q376" s="7" t="str">
        <x:v>Dirección OCR: Bernardo O'Higgins s/n, Hualaihué. Ficha PDF p. 278.</x:v>
      </x:c>
      <x:c r="R376" s="58" t="str">
        <x:v>Referencia sin agenda</x:v>
      </x:c>
      <x:c r="S376" s="60" t="n">
        <x:v>0</x:v>
      </x:c>
      <x:c r="T376" s="58" t="str">
        <x:v>alta</x:v>
      </x:c>
      <x:c r="U376" s="60"/>
      <x:c r="V376" s="58" t="str">
        <x:v>Sin dato</x:v>
      </x:c>
      <x:c r="W376" s="64" t="str"/>
      <x:c r="X376" s="62" t="n">
        <x:v>46271.05877364583</x:v>
      </x:c>
      <x:c r="Y376" s="58" t="str">
        <x:v>No es todavía una fuente digital; conservar como pista territorial.</x:v>
      </x:c>
    </x:row>
    <x:row r="377" ht="42" customHeight="1">
      <x:c r="A377" s="9" t="str">
        <x:v>CL-FUE-0376</x:v>
      </x:c>
      <x:c r="B377" s="7" t="str">
        <x:v>Complejo Intercultural de Fresia</x:v>
      </x:c>
      <x:c r="C377" s="7" t="str">
        <x:v>Complejo Intercultural de Fresia</x:v>
      </x:c>
      <x:c r="D377" s="7" t="str">
        <x:v>Espacio cultural del directorio oficial</x:v>
      </x:c>
      <x:c r="E377" s="7" t="str">
        <x:v>Comunal/local</x:v>
      </x:c>
      <x:c r="F377" s="7" t="str">
        <x:v>Región de Los Lagos</x:v>
      </x:c>
      <x:c r="G377" s="7" t="str">
        <x:v>Ancud</x:v>
      </x:c>
      <x:c r="H377" s="7" t="str">
        <x:v>Interculturalidad</x:v>
      </x:c>
      <x:c r="I377" s="7" t="str">
        <x:v>Canal digital por localizar</x:v>
      </x:c>
      <x:c r="J377" s="10" t="str"/>
      <x:c r="K377" s="10" t="str">
        <x:v>https://ciudadania.cultura.gob.cl/wp-content/uploads/2025/12/Directorio_Espacios-Culturales-2025_RC.pdf#page=279</x:v>
      </x:c>
      <x:c r="L377" s="7" t="str">
        <x:v>Referencia territorial</x:v>
      </x:c>
      <x:c r="M377" s="7" t="str">
        <x:v>No</x:v>
      </x:c>
      <x:c r="N377" s="7" t="str">
        <x:v>Baja</x:v>
      </x:c>
      <x:c r="O377" s="7" t="str">
        <x:v>Investigación manual</x:v>
      </x:c>
      <x:c r="P377" s="8" t="n">
        <x:v>46270.666666666664</x:v>
      </x:c>
      <x:c r="Q377" s="7" t="str">
        <x:v>Dirección OCR: Ruta V300 Camino a Rio Frio, Ancud. Ficha PDF p. 279.</x:v>
      </x:c>
      <x:c r="R377" s="58" t="str">
        <x:v>Referencia sin agenda</x:v>
      </x:c>
      <x:c r="S377" s="60" t="n">
        <x:v>0</x:v>
      </x:c>
      <x:c r="T377" s="58" t="str">
        <x:v>alta</x:v>
      </x:c>
      <x:c r="U377" s="60"/>
      <x:c r="V377" s="58" t="str">
        <x:v>Sin dato</x:v>
      </x:c>
      <x:c r="W377" s="64" t="str"/>
      <x:c r="X377" s="62" t="n">
        <x:v>46271.05877364583</x:v>
      </x:c>
      <x:c r="Y377" s="58" t="str">
        <x:v>No es todavía una fuente digital; conservar como pista territorial.</x:v>
      </x:c>
    </x:row>
    <x:row r="378" ht="42" customHeight="1">
      <x:c r="A378" s="9" t="str">
        <x:v>CL-FUE-0377</x:v>
      </x:c>
      <x:c r="B378" s="7" t="str">
        <x:v>Casa de la Cultura de Futaleufu</x:v>
      </x:c>
      <x:c r="C378" s="7" t="str">
        <x:v>Casa de la Cultura de Futaleufu</x:v>
      </x:c>
      <x:c r="D378" s="7" t="str">
        <x:v>Espacio cultural del directorio oficial</x:v>
      </x:c>
      <x:c r="E378" s="7" t="str">
        <x:v>Comunal/local</x:v>
      </x:c>
      <x:c r="F378" s="7" t="str">
        <x:v>Región de Los Lagos</x:v>
      </x:c>
      <x:c r="G378" s="7" t="str">
        <x:v>Futaleuft:</x:v>
      </x:c>
      <x:c r="H378" s="7" t="str">
        <x:v>Danza; Patrimonio</x:v>
      </x:c>
      <x:c r="I378" s="7" t="str">
        <x:v>Canal digital por localizar</x:v>
      </x:c>
      <x:c r="J378" s="10" t="str"/>
      <x:c r="K378" s="10" t="str">
        <x:v>https://ciudadania.cultura.gob.cl/wp-content/uploads/2025/12/Directorio_Espacios-Culturales-2025_RC.pdf#page=280</x:v>
      </x:c>
      <x:c r="L378" s="7" t="str">
        <x:v>Referencia territorial</x:v>
      </x:c>
      <x:c r="M378" s="7" t="str">
        <x:v>No</x:v>
      </x:c>
      <x:c r="N378" s="7" t="str">
        <x:v>Baja</x:v>
      </x:c>
      <x:c r="O378" s="7" t="str">
        <x:v>Investigación manual</x:v>
      </x:c>
      <x:c r="P378" s="8" t="n">
        <x:v>46270.666666666664</x:v>
      </x:c>
      <x:c r="Q378" s="7" t="str">
        <x:v>Dirección OCR: Balmaceda 900, Futaleuft:. Ficha PDF p. 280.</x:v>
      </x:c>
      <x:c r="R378" s="58" t="str">
        <x:v>Referencia sin agenda</x:v>
      </x:c>
      <x:c r="S378" s="60" t="n">
        <x:v>0</x:v>
      </x:c>
      <x:c r="T378" s="58" t="str">
        <x:v>alta</x:v>
      </x:c>
      <x:c r="U378" s="60"/>
      <x:c r="V378" s="58" t="str">
        <x:v>Sin dato</x:v>
      </x:c>
      <x:c r="W378" s="64" t="str"/>
      <x:c r="X378" s="62" t="n">
        <x:v>46271.05877364583</x:v>
      </x:c>
      <x:c r="Y378" s="58" t="str">
        <x:v>No es todavía una fuente digital; conservar como pista territorial.</x:v>
      </x:c>
    </x:row>
    <x:row r="379" ht="42" customHeight="1">
      <x:c r="A379" s="9" t="str">
        <x:v>CL-FUE-0378</x:v>
      </x:c>
      <x:c r="B379" s="7" t="str">
        <x:v>Espacio cultural (ficha 281)</x:v>
      </x:c>
      <x:c r="C379" s="7" t="str">
        <x:v>Espacio cultural (ficha 281)</x:v>
      </x:c>
      <x:c r="D379" s="7" t="str">
        <x:v>Espacio cultural del directorio oficial</x:v>
      </x:c>
      <x:c r="E379" s="7" t="str">
        <x:v>Comunal/local</x:v>
      </x:c>
      <x:c r="F379" s="7" t="str">
        <x:v>Región de Aysén del General Carlos Ibáñez del Campo</x:v>
      </x:c>
      <x:c r="G379" s="7" t="str">
        <x:v>Cochrane</x:v>
      </x:c>
      <x:c r="H379" s="7" t="str">
        <x:v>Multidisciplinario (por clasificar)</x:v>
      </x:c>
      <x:c r="I379" s="7" t="str">
        <x:v>Canal digital por localizar</x:v>
      </x:c>
      <x:c r="J379" s="10" t="str"/>
      <x:c r="K379" s="10" t="str">
        <x:v>https://ciudadania.cultura.gob.cl/wp-content/uploads/2025/12/Directorio_Espacios-Culturales-2025_RC.pdf#page=281</x:v>
      </x:c>
      <x:c r="L379" s="7" t="str">
        <x:v>Referencia territorial</x:v>
      </x:c>
      <x:c r="M379" s="7" t="str">
        <x:v>No</x:v>
      </x:c>
      <x:c r="N379" s="7" t="str">
        <x:v>Baja</x:v>
      </x:c>
      <x:c r="O379" s="7" t="str">
        <x:v>Investigación manual</x:v>
      </x:c>
      <x:c r="P379" s="8" t="n">
        <x:v>46270.666666666664</x:v>
      </x:c>
      <x:c r="Q379" s="7" t="str">
        <x:v>Dirección OCR: San Valentin 555, Cochrane. Ficha PDF p. 281.</x:v>
      </x:c>
      <x:c r="R379" s="58" t="str">
        <x:v>Referencia sin agenda</x:v>
      </x:c>
      <x:c r="S379" s="60" t="n">
        <x:v>0</x:v>
      </x:c>
      <x:c r="T379" s="58" t="str">
        <x:v>alta</x:v>
      </x:c>
      <x:c r="U379" s="60"/>
      <x:c r="V379" s="58" t="str">
        <x:v>Sin dato</x:v>
      </x:c>
      <x:c r="W379" s="64" t="str"/>
      <x:c r="X379" s="62" t="n">
        <x:v>46271.05877364583</x:v>
      </x:c>
      <x:c r="Y379" s="58" t="str">
        <x:v>No es todavía una fuente digital; conservar como pista territorial.</x:v>
      </x:c>
    </x:row>
    <x:row r="380" ht="42" customHeight="1">
      <x:c r="A380" s="9" t="str">
        <x:v>CL-FUE-0379</x:v>
      </x:c>
      <x:c r="B380" s="7" t="str">
        <x:v>La Polilla</x:v>
      </x:c>
      <x:c r="C380" s="7" t="str">
        <x:v>La Polilla</x:v>
      </x:c>
      <x:c r="D380" s="7" t="str">
        <x:v>Espacio cultural del directorio oficial</x:v>
      </x:c>
      <x:c r="E380" s="7" t="str">
        <x:v>Comunal/local</x:v>
      </x:c>
      <x:c r="F380" s="7" t="str">
        <x:v>Región de Aysén del General Carlos Ibáñez del Campo</x:v>
      </x:c>
      <x:c r="G380" s="7" t="str">
        <x:v>Villa Maftihuales</x:v>
      </x:c>
      <x:c r="H380" s="7" t="str">
        <x:v>Multidisciplinario (por clasificar)</x:v>
      </x:c>
      <x:c r="I380" s="7" t="str">
        <x:v>Canal digital por localizar</x:v>
      </x:c>
      <x:c r="J380" s="10" t="str"/>
      <x:c r="K380" s="10" t="str">
        <x:v>https://ciudadania.cultura.gob.cl/wp-content/uploads/2025/12/Directorio_Espacios-Culturales-2025_RC.pdf#page=282</x:v>
      </x:c>
      <x:c r="L380" s="7" t="str">
        <x:v>Referencia territorial</x:v>
      </x:c>
      <x:c r="M380" s="7" t="str">
        <x:v>No</x:v>
      </x:c>
      <x:c r="N380" s="7" t="str">
        <x:v>Baja</x:v>
      </x:c>
      <x:c r="O380" s="7" t="str">
        <x:v>Investigación manual</x:v>
      </x:c>
      <x:c r="P380" s="8" t="n">
        <x:v>46270.666666666664</x:v>
      </x:c>
      <x:c r="Q380" s="7" t="str">
        <x:v>Dirección OCR: Caupolicén145, Villa Maftihuales. Ficha PDF p. 282.</x:v>
      </x:c>
      <x:c r="R380" s="58" t="str">
        <x:v>Referencia sin agenda</x:v>
      </x:c>
      <x:c r="S380" s="60" t="n">
        <x:v>0</x:v>
      </x:c>
      <x:c r="T380" s="58" t="str">
        <x:v>alta</x:v>
      </x:c>
      <x:c r="U380" s="60"/>
      <x:c r="V380" s="58" t="str">
        <x:v>Sin dato</x:v>
      </x:c>
      <x:c r="W380" s="64" t="str"/>
      <x:c r="X380" s="62" t="n">
        <x:v>46271.05877364583</x:v>
      </x:c>
      <x:c r="Y380" s="58" t="str">
        <x:v>No es todavía una fuente digital; conservar como pista territorial.</x:v>
      </x:c>
    </x:row>
    <x:row r="381" ht="42" customHeight="1">
      <x:c r="A381" s="9" t="str">
        <x:v>CL-FUE-0380</x:v>
      </x:c>
      <x:c r="B381" s="7" t="str">
        <x:v>Corporacion Cultural Municipal de Coyhaique</x:v>
      </x:c>
      <x:c r="C381" s="7" t="str">
        <x:v>Corporacion Cultural Municipal de Coyhaique</x:v>
      </x:c>
      <x:c r="D381" s="7" t="str">
        <x:v>Espacio cultural del directorio oficial</x:v>
      </x:c>
      <x:c r="E381" s="7" t="str">
        <x:v>Comunal/local</x:v>
      </x:c>
      <x:c r="F381" s="7" t="str">
        <x:v>Región de Aysén del General Carlos Ibáñez del Campo</x:v>
      </x:c>
      <x:c r="G381" s="7" t="str">
        <x:v>Coyhaique</x:v>
      </x:c>
      <x:c r="H381" s="7" t="str">
        <x:v>Multidisciplinario (por clasificar)</x:v>
      </x:c>
      <x:c r="I381" s="7" t="str">
        <x:v>Canal digital por localizar</x:v>
      </x:c>
      <x:c r="J381" s="10" t="str"/>
      <x:c r="K381" s="10" t="str">
        <x:v>https://ciudadania.cultura.gob.cl/wp-content/uploads/2025/12/Directorio_Espacios-Culturales-2025_RC.pdf#page=283</x:v>
      </x:c>
      <x:c r="L381" s="7" t="str">
        <x:v>Referencia territorial</x:v>
      </x:c>
      <x:c r="M381" s="7" t="str">
        <x:v>No</x:v>
      </x:c>
      <x:c r="N381" s="7" t="str">
        <x:v>Baja</x:v>
      </x:c>
      <x:c r="O381" s="7" t="str">
        <x:v>Investigación manual</x:v>
      </x:c>
      <x:c r="P381" s="8" t="n">
        <x:v>46270.666666666664</x:v>
      </x:c>
      <x:c r="Q381" s="7" t="str">
        <x:v>Dirección OCR: Eusebio Lillo 23, Coyhaique. Ficha PDF p. 283.</x:v>
      </x:c>
      <x:c r="R381" s="58" t="str">
        <x:v>Referencia sin agenda</x:v>
      </x:c>
      <x:c r="S381" s="60" t="n">
        <x:v>0</x:v>
      </x:c>
      <x:c r="T381" s="58" t="str">
        <x:v>alta</x:v>
      </x:c>
      <x:c r="U381" s="60"/>
      <x:c r="V381" s="58" t="str">
        <x:v>Sin dato</x:v>
      </x:c>
      <x:c r="W381" s="64" t="str"/>
      <x:c r="X381" s="62" t="n">
        <x:v>46271.05877364583</x:v>
      </x:c>
      <x:c r="Y381" s="58" t="str">
        <x:v>No es todavía una fuente digital; conservar como pista territorial.</x:v>
      </x:c>
    </x:row>
    <x:row r="382" ht="42" customHeight="1">
      <x:c r="A382" s="9" t="str">
        <x:v>CL-FUE-0381</x:v>
      </x:c>
      <x:c r="B382" s="7" t="str">
        <x:v>Espacio cultural (ficha 284)</x:v>
      </x:c>
      <x:c r="C382" s="7" t="str">
        <x:v>Espacio cultural (ficha 284)</x:v>
      </x:c>
      <x:c r="D382" s="7" t="str">
        <x:v>Espacio cultural del directorio oficial</x:v>
      </x:c>
      <x:c r="E382" s="7" t="str">
        <x:v>Comunal/local</x:v>
      </x:c>
      <x:c r="F382" s="7" t="str">
        <x:v>Región de Magallanes y de la Antártica Chilena</x:v>
      </x:c>
      <x:c r="G382" s="7" t="str">
        <x:v>Puerto Natales</x:v>
      </x:c>
      <x:c r="H382" s="7" t="str">
        <x:v>Patrimonio</x:v>
      </x:c>
      <x:c r="I382" s="7" t="str">
        <x:v>Canal digital por localizar</x:v>
      </x:c>
      <x:c r="J382" s="10" t="str"/>
      <x:c r="K382" s="10" t="str">
        <x:v>https://ciudadania.cultura.gob.cl/wp-content/uploads/2025/12/Directorio_Espacios-Culturales-2025_RC.pdf#page=284</x:v>
      </x:c>
      <x:c r="L382" s="7" t="str">
        <x:v>Referencia territorial</x:v>
      </x:c>
      <x:c r="M382" s="7" t="str">
        <x:v>No</x:v>
      </x:c>
      <x:c r="N382" s="7" t="str">
        <x:v>Baja</x:v>
      </x:c>
      <x:c r="O382" s="7" t="str">
        <x:v>Investigación manual</x:v>
      </x:c>
      <x:c r="P382" s="8" t="n">
        <x:v>46270.666666666664</x:v>
      </x:c>
      <x:c r="Q382" s="7" t="str">
        <x:v>Dirección OCR: Pedro Montt 800, Puerto Natales. Ficha PDF p. 284.</x:v>
      </x:c>
      <x:c r="R382" s="58" t="str">
        <x:v>Referencia sin agenda</x:v>
      </x:c>
      <x:c r="S382" s="60" t="n">
        <x:v>0</x:v>
      </x:c>
      <x:c r="T382" s="58" t="str">
        <x:v>alta</x:v>
      </x:c>
      <x:c r="U382" s="60"/>
      <x:c r="V382" s="58" t="str">
        <x:v>Sin dato</x:v>
      </x:c>
      <x:c r="W382" s="64" t="str"/>
      <x:c r="X382" s="62" t="n">
        <x:v>46271.05877364583</x:v>
      </x:c>
      <x:c r="Y382" s="58" t="str">
        <x:v>No es todavía una fuente digital; conservar como pista territorial.</x:v>
      </x:c>
    </x:row>
    <x:row r="383" ht="42" customHeight="1">
      <x:c r="A383" s="9" t="str">
        <x:v>CL-FUE-0382</x:v>
      </x:c>
      <x:c r="B383" s="7" t="str">
        <x:v>Espacio cultural (ficha 285)</x:v>
      </x:c>
      <x:c r="C383" s="7" t="str">
        <x:v>Espacio cultural (ficha 285)</x:v>
      </x:c>
      <x:c r="D383" s="7" t="str">
        <x:v>Espacio cultural del directorio oficial</x:v>
      </x:c>
      <x:c r="E383" s="7" t="str">
        <x:v>Comunal/local</x:v>
      </x:c>
      <x:c r="F383" s="7" t="str">
        <x:v>Región de Magallanes y de la Antártica Chilena</x:v>
      </x:c>
      <x:c r="G383" s="7" t="str">
        <x:v>Punta Arenas</x:v>
      </x:c>
      <x:c r="H383" s="7" t="str">
        <x:v>Multidisciplinario (por clasificar)</x:v>
      </x:c>
      <x:c r="I383" s="7" t="str">
        <x:v>Canal digital por localizar</x:v>
      </x:c>
      <x:c r="J383" s="10" t="str"/>
      <x:c r="K383" s="10" t="str">
        <x:v>https://ciudadania.cultura.gob.cl/wp-content/uploads/2025/12/Directorio_Espacios-Culturales-2025_RC.pdf#page=285</x:v>
      </x:c>
      <x:c r="L383" s="7" t="str">
        <x:v>Referencia territorial</x:v>
      </x:c>
      <x:c r="M383" s="7" t="str">
        <x:v>No</x:v>
      </x:c>
      <x:c r="N383" s="7" t="str">
        <x:v>Baja</x:v>
      </x:c>
      <x:c r="O383" s="7" t="str">
        <x:v>Investigación manual</x:v>
      </x:c>
      <x:c r="P383" s="8" t="n">
        <x:v>46270.666666666664</x:v>
      </x:c>
      <x:c r="Q383" s="7" t="str">
        <x:v>Dirección OCR: José Joaquin Pérez 04311, Punta Arenas. Ficha PDF p. 285.</x:v>
      </x:c>
      <x:c r="R383" s="58" t="str">
        <x:v>Referencia sin agenda</x:v>
      </x:c>
      <x:c r="S383" s="60" t="n">
        <x:v>0</x:v>
      </x:c>
      <x:c r="T383" s="58" t="str">
        <x:v>alta</x:v>
      </x:c>
      <x:c r="U383" s="60"/>
      <x:c r="V383" s="58" t="str">
        <x:v>Sin dato</x:v>
      </x:c>
      <x:c r="W383" s="64" t="str"/>
      <x:c r="X383" s="62" t="n">
        <x:v>46271.05877364583</x:v>
      </x:c>
      <x:c r="Y383" s="58" t="str">
        <x:v>No es todavía una fuente digital; conservar como pista territorial.</x:v>
      </x:c>
    </x:row>
    <x:row r="384" ht="42" customHeight="1">
      <x:c r="A384" s="9" t="str">
        <x:v>CL-FUE-0383</x:v>
      </x:c>
      <x:c r="B384" s="7" t="str">
        <x:v>Espacio Comunitario La Idea</x:v>
      </x:c>
      <x:c r="C384" s="7" t="str">
        <x:v>Espacio Comunitario La Idea</x:v>
      </x:c>
      <x:c r="D384" s="7" t="str">
        <x:v>Espacio cultural del directorio oficial</x:v>
      </x:c>
      <x:c r="E384" s="7" t="str">
        <x:v>Comunal/local</x:v>
      </x:c>
      <x:c r="F384" s="7" t="str">
        <x:v>Región de Magallanes y de la Antártica Chilena</x:v>
      </x:c>
      <x:c r="G384" s="7" t="str"/>
      <x:c r="H384" s="7" t="str">
        <x:v>Multidisciplinario (por clasificar)</x:v>
      </x:c>
      <x:c r="I384" s="7" t="str">
        <x:v>Canal digital por localizar</x:v>
      </x:c>
      <x:c r="J384" s="10" t="str"/>
      <x:c r="K384" s="10" t="str">
        <x:v>https://ciudadania.cultura.gob.cl/wp-content/uploads/2025/12/Directorio_Espacios-Culturales-2025_RC.pdf#page=286</x:v>
      </x:c>
      <x:c r="L384" s="7" t="str">
        <x:v>Referencia territorial</x:v>
      </x:c>
      <x:c r="M384" s="7" t="str">
        <x:v>No</x:v>
      </x:c>
      <x:c r="N384" s="7" t="str">
        <x:v>Baja</x:v>
      </x:c>
      <x:c r="O384" s="7" t="str">
        <x:v>Investigación manual</x:v>
      </x:c>
      <x:c r="P384" s="8" t="n">
        <x:v>46270.666666666664</x:v>
      </x:c>
      <x:c r="Q384" s="7" t="str">
        <x:v>Dirección OCR: Mejicana 252. Punta Arenas. Ficha PDF p. 286.</x:v>
      </x:c>
      <x:c r="R384" s="58" t="str">
        <x:v>Referencia sin agenda</x:v>
      </x:c>
      <x:c r="S384" s="60" t="n">
        <x:v>0</x:v>
      </x:c>
      <x:c r="T384" s="58" t="str">
        <x:v>alta</x:v>
      </x:c>
      <x:c r="U384" s="60"/>
      <x:c r="V384" s="58" t="str">
        <x:v>Sin dato</x:v>
      </x:c>
      <x:c r="W384" s="64" t="str"/>
      <x:c r="X384" s="62" t="n">
        <x:v>46271.05877364583</x:v>
      </x:c>
      <x:c r="Y384" s="58" t="str">
        <x:v>No es todavía una fuente digital; conservar como pista territorial.</x:v>
      </x:c>
    </x:row>
    <x:row r="385" ht="42" customHeight="1">
      <x:c r="A385" s="9" t="str">
        <x:v>CL-FUE-0384</x:v>
      </x:c>
      <x:c r="B385" s="7" t="str">
        <x:v>Espacio Cultural Zur Vértice</x:v>
      </x:c>
      <x:c r="C385" s="7" t="str">
        <x:v>Espacio Cultural Zur Vértice</x:v>
      </x:c>
      <x:c r="D385" s="7" t="str">
        <x:v>Espacio cultural del directorio oficial</x:v>
      </x:c>
      <x:c r="E385" s="7" t="str">
        <x:v>Comunal/local</x:v>
      </x:c>
      <x:c r="F385" s="7" t="str">
        <x:v>Región de Magallanes y de la Antártica Chilena</x:v>
      </x:c>
      <x:c r="G385" s="7" t="str">
        <x:v>Punta Arenas</x:v>
      </x:c>
      <x:c r="H385" s="7" t="str">
        <x:v>Multidisciplinario (por clasificar)</x:v>
      </x:c>
      <x:c r="I385" s="7" t="str">
        <x:v>Canal digital por localizar</x:v>
      </x:c>
      <x:c r="J385" s="10" t="str"/>
      <x:c r="K385" s="10" t="str">
        <x:v>https://ciudadania.cultura.gob.cl/wp-content/uploads/2025/12/Directorio_Espacios-Culturales-2025_RC.pdf#page=287</x:v>
      </x:c>
      <x:c r="L385" s="7" t="str">
        <x:v>Referencia territorial</x:v>
      </x:c>
      <x:c r="M385" s="7" t="str">
        <x:v>No</x:v>
      </x:c>
      <x:c r="N385" s="7" t="str">
        <x:v>Baja</x:v>
      </x:c>
      <x:c r="O385" s="7" t="str">
        <x:v>Investigación manual</x:v>
      </x:c>
      <x:c r="P385" s="8" t="n">
        <x:v>46270.666666666664</x:v>
      </x:c>
      <x:c r="Q385" s="7" t="str">
        <x:v>Dirección OCR: Chiloé 152, Punta Arenas. Ficha PDF p. 287.</x:v>
      </x:c>
      <x:c r="R385" s="58" t="str">
        <x:v>Referencia sin agenda</x:v>
      </x:c>
      <x:c r="S385" s="60" t="n">
        <x:v>0</x:v>
      </x:c>
      <x:c r="T385" s="58" t="str">
        <x:v>alta</x:v>
      </x:c>
      <x:c r="U385" s="60"/>
      <x:c r="V385" s="58" t="str">
        <x:v>Sin dato</x:v>
      </x:c>
      <x:c r="W385" s="64" t="str"/>
      <x:c r="X385" s="62" t="n">
        <x:v>46271.05877364583</x:v>
      </x:c>
      <x:c r="Y385" s="58" t="str">
        <x:v>No es todavía una fuente digital; conservar como pista territorial.</x:v>
      </x:c>
    </x:row>
    <x:row r="386" ht="42" customHeight="1">
      <x:c r="A386" s="9" t="str">
        <x:v>CL-FUE-0385</x:v>
      </x:c>
      <x:c r="B386" s="7" t="str">
        <x:v>Centro Cultural Municipal</x:v>
      </x:c>
      <x:c r="C386" s="7" t="str">
        <x:v>Centro Cultural Municipal</x:v>
      </x:c>
      <x:c r="D386" s="7" t="str">
        <x:v>Espacio cultural del directorio oficial</x:v>
      </x:c>
      <x:c r="E386" s="7" t="str">
        <x:v>Comunal/local</x:v>
      </x:c>
      <x:c r="F386" s="7" t="str">
        <x:v>Región de Magallanes y de la Antártica Chilena</x:v>
      </x:c>
      <x:c r="G386" s="7" t="str">
        <x:v>Punta Arenas</x:v>
      </x:c>
      <x:c r="H386" s="7" t="str">
        <x:v>Multidisciplinario (por clasificar)</x:v>
      </x:c>
      <x:c r="I386" s="7" t="str">
        <x:v>Canal digital por localizar</x:v>
      </x:c>
      <x:c r="J386" s="10" t="str"/>
      <x:c r="K386" s="10" t="str">
        <x:v>https://ciudadania.cultura.gob.cl/wp-content/uploads/2025/12/Directorio_Espacios-Culturales-2025_RC.pdf#page=288</x:v>
      </x:c>
      <x:c r="L386" s="7" t="str">
        <x:v>Referencia territorial</x:v>
      </x:c>
      <x:c r="M386" s="7" t="str">
        <x:v>No</x:v>
      </x:c>
      <x:c r="N386" s="7" t="str">
        <x:v>Baja</x:v>
      </x:c>
      <x:c r="O386" s="7" t="str">
        <x:v>Investigación manual</x:v>
      </x:c>
      <x:c r="P386" s="8" t="n">
        <x:v>46270.666666666664</x:v>
      </x:c>
      <x:c r="Q386" s="7" t="str">
        <x:v>Dirección OCR: 21 de mayo 2421, Punta Arenas. Ficha PDF p. 288.</x:v>
      </x:c>
      <x:c r="R386" s="58" t="str">
        <x:v>Referencia sin agenda</x:v>
      </x:c>
      <x:c r="S386" s="60" t="n">
        <x:v>0</x:v>
      </x:c>
      <x:c r="T386" s="58" t="str">
        <x:v>alta</x:v>
      </x:c>
      <x:c r="U386" s="60"/>
      <x:c r="V386" s="58" t="str">
        <x:v>Sin dato</x:v>
      </x:c>
      <x:c r="W386" s="64" t="str"/>
      <x:c r="X386" s="62" t="n">
        <x:v>46271.05877364583</x:v>
      </x:c>
      <x:c r="Y386" s="58" t="str">
        <x:v>No es todavía una fuente digital; conservar como pista territorial.</x:v>
      </x:c>
    </x:row>
    <x:row r="387" ht="42" customHeight="1">
      <x:c r="A387" s="9" t="str">
        <x:v>CL-FUE-0386</x:v>
      </x:c>
      <x:c r="B387" s="7" t="str">
        <x:v>Casa Azul del Arte de Punta Arenas</x:v>
      </x:c>
      <x:c r="C387" s="7" t="str">
        <x:v>Casa Azul del Arte de Punta Arenas</x:v>
      </x:c>
      <x:c r="D387" s="7" t="str">
        <x:v>Espacio cultural del directorio oficial</x:v>
      </x:c>
      <x:c r="E387" s="7" t="str">
        <x:v>Comunal/local</x:v>
      </x:c>
      <x:c r="F387" s="7" t="str">
        <x:v>Región de Magallanes y de la Antártica Chilena</x:v>
      </x:c>
      <x:c r="G387" s="7" t="str">
        <x:v>Punta Arenas</x:v>
      </x:c>
      <x:c r="H387" s="7" t="str">
        <x:v>Multidisciplinario (por clasificar)</x:v>
      </x:c>
      <x:c r="I387" s="7" t="str">
        <x:v>Canal digital por localizar</x:v>
      </x:c>
      <x:c r="J387" s="10" t="str"/>
      <x:c r="K387" s="10" t="str">
        <x:v>https://ciudadania.cultura.gob.cl/wp-content/uploads/2025/12/Directorio_Espacios-Culturales-2025_RC.pdf#page=289</x:v>
      </x:c>
      <x:c r="L387" s="7" t="str">
        <x:v>Referencia territorial</x:v>
      </x:c>
      <x:c r="M387" s="7" t="str">
        <x:v>No</x:v>
      </x:c>
      <x:c r="N387" s="7" t="str">
        <x:v>Baja</x:v>
      </x:c>
      <x:c r="O387" s="7" t="str">
        <x:v>Investigación manual</x:v>
      </x:c>
      <x:c r="P387" s="8" t="n">
        <x:v>46270.666666666664</x:v>
      </x:c>
      <x:c r="Q387" s="7" t="str">
        <x:v>Dirección OCR: Avenida Espafia 1672, Punta Arenas. Ficha PDF p. 289.</x:v>
      </x:c>
      <x:c r="R387" s="58" t="str">
        <x:v>Referencia sin agenda</x:v>
      </x:c>
      <x:c r="S387" s="60" t="n">
        <x:v>0</x:v>
      </x:c>
      <x:c r="T387" s="58" t="str">
        <x:v>alta</x:v>
      </x:c>
      <x:c r="U387" s="60"/>
      <x:c r="V387" s="58" t="str">
        <x:v>Sin dato</x:v>
      </x:c>
      <x:c r="W387" s="64" t="str"/>
      <x:c r="X387" s="62" t="n">
        <x:v>46271.05877364583</x:v>
      </x:c>
      <x:c r="Y387" s="58" t="str">
        <x:v>No es todavía una fuente digital; conservar como pista territorial.</x:v>
      </x:c>
    </x:row>
    <x:row r="388" ht="42" customHeight="1">
      <x:c r="A388" s="9" t="str">
        <x:v>CL-FUE-0387</x:v>
      </x:c>
      <x:c r="B388" s="7" t="str">
        <x:v>Teatro Municipal José Bohr</x:v>
      </x:c>
      <x:c r="C388" s="7" t="str">
        <x:v>Teatro Municipal José Bohr</x:v>
      </x:c>
      <x:c r="D388" s="7" t="str">
        <x:v>Espacio cultural del directorio oficial</x:v>
      </x:c>
      <x:c r="E388" s="7" t="str">
        <x:v>Comunal/local</x:v>
      </x:c>
      <x:c r="F388" s="7" t="str">
        <x:v>Región de Magallanes y de la Antártica Chilena</x:v>
      </x:c>
      <x:c r="G388" s="7" t="str">
        <x:v>Punta Arenas</x:v>
      </x:c>
      <x:c r="H388" s="7" t="str">
        <x:v>Patrimonio; Teatro</x:v>
      </x:c>
      <x:c r="I388" s="7" t="str">
        <x:v>Canal digital por localizar</x:v>
      </x:c>
      <x:c r="J388" s="10" t="str"/>
      <x:c r="K388" s="10" t="str">
        <x:v>https://ciudadania.cultura.gob.cl/wp-content/uploads/2025/12/Directorio_Espacios-Culturales-2025_RC.pdf#page=290</x:v>
      </x:c>
      <x:c r="L388" s="7" t="str">
        <x:v>Referencia territorial</x:v>
      </x:c>
      <x:c r="M388" s="7" t="str">
        <x:v>No</x:v>
      </x:c>
      <x:c r="N388" s="7" t="str">
        <x:v>Baja</x:v>
      </x:c>
      <x:c r="O388" s="7" t="str">
        <x:v>Investigación manual</x:v>
      </x:c>
      <x:c r="P388" s="8" t="n">
        <x:v>46270.666666666664</x:v>
      </x:c>
      <x:c r="Q388" s="7" t="str">
        <x:v>Dirección OCR: Magallanes 823, Punta Arenas. Ficha PDF p. 290.</x:v>
      </x:c>
      <x:c r="R388" s="58" t="str">
        <x:v>Referencia sin agenda</x:v>
      </x:c>
      <x:c r="S388" s="60" t="n">
        <x:v>0</x:v>
      </x:c>
      <x:c r="T388" s="58" t="str">
        <x:v>alta</x:v>
      </x:c>
      <x:c r="U388" s="60"/>
      <x:c r="V388" s="58" t="str">
        <x:v>Sin dato</x:v>
      </x:c>
      <x:c r="W388" s="64" t="str"/>
      <x:c r="X388" s="62" t="n">
        <x:v>46271.05877364583</x:v>
      </x:c>
      <x:c r="Y388" s="58" t="str">
        <x:v>No es todavía una fuente digital; conservar como pista territorial.</x:v>
      </x:c>
    </x:row>
    <x:row r="389" ht="42" customHeight="1">
      <x:c r="A389" s="9" t="str">
        <x:v>CL-FUE-0388</x:v>
      </x:c>
      <x:c r="B389" s="7" t="str">
        <x:v>Espacio Cultural Escarabajo Galeria y Taller</x:v>
      </x:c>
      <x:c r="C389" s="7" t="str">
        <x:v>Espacio Cultural Escarabajo Galeria y Taller</x:v>
      </x:c>
      <x:c r="D389" s="7" t="str">
        <x:v>Espacio cultural del directorio oficial</x:v>
      </x:c>
      <x:c r="E389" s="7" t="str">
        <x:v>Comunal/local</x:v>
      </x:c>
      <x:c r="F389" s="7" t="str">
        <x:v>Región de Magallanes y de la Antártica Chilena</x:v>
      </x:c>
      <x:c r="G389" s="7" t="str">
        <x:v>Punta Arenas</x:v>
      </x:c>
      <x:c r="H389" s="7" t="str">
        <x:v>Multidisciplinario (por clasificar)</x:v>
      </x:c>
      <x:c r="I389" s="7" t="str">
        <x:v>Canal digital por localizar</x:v>
      </x:c>
      <x:c r="J389" s="10" t="str"/>
      <x:c r="K389" s="10" t="str">
        <x:v>https://ciudadania.cultura.gob.cl/wp-content/uploads/2025/12/Directorio_Espacios-Culturales-2025_RC.pdf#page=291</x:v>
      </x:c>
      <x:c r="L389" s="7" t="str">
        <x:v>Referencia territorial</x:v>
      </x:c>
      <x:c r="M389" s="7" t="str">
        <x:v>No</x:v>
      </x:c>
      <x:c r="N389" s="7" t="str">
        <x:v>Baja</x:v>
      </x:c>
      <x:c r="O389" s="7" t="str">
        <x:v>Investigación manual</x:v>
      </x:c>
      <x:c r="P389" s="8" t="n">
        <x:v>46270.666666666664</x:v>
      </x:c>
      <x:c r="Q389" s="7" t="str">
        <x:v>Dirección OCR: O'Higgins 1013, 2° piso, Punta Arenas. Ficha PDF p. 291.</x:v>
      </x:c>
      <x:c r="R389" s="58" t="str">
        <x:v>Referencia sin agenda</x:v>
      </x:c>
      <x:c r="S389" s="60" t="n">
        <x:v>0</x:v>
      </x:c>
      <x:c r="T389" s="58" t="str">
        <x:v>alta</x:v>
      </x:c>
      <x:c r="U389" s="60"/>
      <x:c r="V389" s="58" t="str">
        <x:v>Sin dato</x:v>
      </x:c>
      <x:c r="W389" s="64" t="str"/>
      <x:c r="X389" s="62" t="n">
        <x:v>46271.05877364583</x:v>
      </x:c>
      <x:c r="Y389" s="58" t="str">
        <x:v>No es todavía una fuente digital; conservar como pista territorial.</x:v>
      </x:c>
    </x:row>
    <x:row r="390" ht="42" customHeight="1">
      <x:c r="A390" s="9" t="str">
        <x:v>CL-FUE-0389</x:v>
      </x:c>
      <x:c r="B390" s="7" t="str">
        <x:v>Biblioteca Municipal de San Gregorio</x:v>
      </x:c>
      <x:c r="C390" s="7" t="str">
        <x:v>Biblioteca Municipal de San Gregorio</x:v>
      </x:c>
      <x:c r="D390" s="7" t="str">
        <x:v>Espacio cultural del directorio oficial</x:v>
      </x:c>
      <x:c r="E390" s="7" t="str">
        <x:v>Comunal/local</x:v>
      </x:c>
      <x:c r="F390" s="7" t="str">
        <x:v>Región de Magallanes y de la Antártica Chilena</x:v>
      </x:c>
      <x:c r="G390" s="7" t="str">
        <x:v>San Gregorio</x:v>
      </x:c>
      <x:c r="H390" s="7" t="str">
        <x:v>Multidisciplinario (por clasificar)</x:v>
      </x:c>
      <x:c r="I390" s="7" t="str">
        <x:v>Canal digital por localizar</x:v>
      </x:c>
      <x:c r="J390" s="10" t="str"/>
      <x:c r="K390" s="10" t="str">
        <x:v>https://ciudadania.cultura.gob.cl/wp-content/uploads/2025/12/Directorio_Espacios-Culturales-2025_RC.pdf#page=292</x:v>
      </x:c>
      <x:c r="L390" s="7" t="str">
        <x:v>Referencia territorial</x:v>
      </x:c>
      <x:c r="M390" s="7" t="str">
        <x:v>No</x:v>
      </x:c>
      <x:c r="N390" s="7" t="str">
        <x:v>Baja</x:v>
      </x:c>
      <x:c r="O390" s="7" t="str">
        <x:v>Investigación manual</x:v>
      </x:c>
      <x:c r="P390" s="8" t="n">
        <x:v>46270.666666666664</x:v>
      </x:c>
      <x:c r="Q390" s="7" t="str">
        <x:v>Dirección OCR: Av. Bernardo O'Higgins s/n, San Gregorio. Ficha PDF p. 292.</x:v>
      </x:c>
      <x:c r="R390" s="58" t="str">
        <x:v>Referencia sin agenda</x:v>
      </x:c>
      <x:c r="S390" s="60" t="n">
        <x:v>0</x:v>
      </x:c>
      <x:c r="T390" s="58" t="str">
        <x:v>alta</x:v>
      </x:c>
      <x:c r="U390" s="60"/>
      <x:c r="V390" s="58" t="str">
        <x:v>Sin dato</x:v>
      </x:c>
      <x:c r="W390" s="64" t="str"/>
      <x:c r="X390" s="62" t="n">
        <x:v>46271.05877364583</x:v>
      </x:c>
      <x:c r="Y390" s="58" t="str">
        <x:v>No es todavía una fuente digital; conservar como pista territorial.</x:v>
      </x:c>
    </x:row>
    <x:row r="391" ht="42" customHeight="1">
      <x:c r="A391" s="11" t="str">
        <x:v>CL-FUE-0390</x:v>
      </x:c>
      <x:c r="B391" s="12" t="str">
        <x:v>Municipalidad de Torres del Paine</x:v>
      </x:c>
      <x:c r="C391" s="12" t="str">
        <x:v>Municipalidad de Torres del Paine</x:v>
      </x:c>
      <x:c r="D391" s="12" t="str">
        <x:v>Espacio cultural del directorio oficial</x:v>
      </x:c>
      <x:c r="E391" s="12" t="str">
        <x:v>Comunal/local</x:v>
      </x:c>
      <x:c r="F391" s="12" t="str">
        <x:v>Región de Magallanes y de la Antártica Chilena</x:v>
      </x:c>
      <x:c r="G391" s="12" t="str"/>
      <x:c r="H391" s="12" t="str">
        <x:v>Multidisciplinario (por clasificar)</x:v>
      </x:c>
      <x:c r="I391" s="12" t="str">
        <x:v>Canal digital por localizar</x:v>
      </x:c>
      <x:c r="J391" s="13" t="str"/>
      <x:c r="K391" s="13" t="str">
        <x:v>https://ciudadania.cultura.gob.cl/wp-content/uploads/2025/12/Directorio_Espacios-Culturales-2025_RC.pdf#page=293</x:v>
      </x:c>
      <x:c r="L391" s="12" t="str">
        <x:v>Referencia territorial</x:v>
      </x:c>
      <x:c r="M391" s="12" t="str">
        <x:v>No</x:v>
      </x:c>
      <x:c r="N391" s="12" t="str">
        <x:v>Baja</x:v>
      </x:c>
      <x:c r="O391" s="12" t="str">
        <x:v>Investigación manual</x:v>
      </x:c>
      <x:c r="P391" s="14" t="n">
        <x:v>46270.666666666664</x:v>
      </x:c>
      <x:c r="Q391" s="12" t="str">
        <x:v>Dirección OCR: Av. Bernardo O'Higgins 208. Ficha PDF p. 293.</x:v>
      </x:c>
      <x:c r="R391" s="59" t="str">
        <x:v>Referencia sin agenda</x:v>
      </x:c>
      <x:c r="S391" s="61" t="n">
        <x:v>0</x:v>
      </x:c>
      <x:c r="T391" s="59" t="str">
        <x:v>alta</x:v>
      </x:c>
      <x:c r="U391" s="61"/>
      <x:c r="V391" s="59" t="str">
        <x:v>Sin dato</x:v>
      </x:c>
      <x:c r="W391" s="13" t="str"/>
      <x:c r="X391" s="63" t="n">
        <x:v>46271.05877364583</x:v>
      </x:c>
      <x:c r="Y391" s="59" t="str">
        <x:v>No es todavía una fuente digital; conservar como pista territorial.</x:v>
      </x:c>
    </x:row>
    <x:row r="392">
      <x:c r="A392" s="1" t="str">
        <x:v>CL-FUE-0391</x:v>
      </x:c>
      <x:c r="B392" s="1" t="str">
        <x:v>Corporación Cultural de Iquique</x:v>
      </x:c>
      <x:c r="C392" s="1" t="str">
        <x:v>Corporación Cultural de Iquique</x:v>
      </x:c>
      <x:c r="D392" s="1" t="str">
        <x:v>Corporación cultural</x:v>
      </x:c>
      <x:c r="E392" s="1" t="str">
        <x:v>Comunal</x:v>
      </x:c>
      <x:c r="F392" s="1" t="str">
        <x:v>Región de Tarapacá</x:v>
      </x:c>
      <x:c r="G392" s="1" t="str">
        <x:v>Iquique</x:v>
      </x:c>
      <x:c r="H392" s="1" t="str">
        <x:v>Multidisciplinario</x:v>
      </x:c>
      <x:c r="I392" s="1" t="str">
        <x:v>Cartelera institucional</x:v>
      </x:c>
      <x:c r="J392" s="1" t="str">
        <x:v>https://culturaiquique.cl/</x:v>
      </x:c>
      <x:c r="K392" s="1" t="str">
        <x:v>https://culturaiquique.cl/</x:v>
      </x:c>
      <x:c r="L392" s="1" t="str">
        <x:v>Integrada operativa</x:v>
      </x:c>
      <x:c r="M392" s="1" t="str">
        <x:v>Sí</x:v>
      </x:c>
      <x:c r="N392" s="1" t="str">
        <x:v>Alta</x:v>
      </x:c>
      <x:c r="O392" s="1" t="str">
        <x:v>html_cards</x:v>
      </x:c>
      <x:c r="P392" s="1" t="n">
        <x:v>46285.625</x:v>
      </x:c>
      <x:c r="Q392" s="1" t="str">
        <x:v>Extracción real verificada: dos eventos vigentes con fichas oficiales.</x:v>
      </x:c>
      <x:c r="R392" t="str">
        <x:v>Aprobada técnicamente</x:v>
      </x:c>
      <x:c r="S392" t="n">
        <x:v>99</x:v>
      </x:c>
      <x:c r="T392" t="str">
        <x:v>alta</x:v>
      </x:c>
      <x:c r="U392" t="n">
        <x:v>200</x:v>
      </x:c>
      <x:c r="V392" t="str">
        <x:v>Sin dato</x:v>
      </x:c>
      <x:c r="W392" t="str">
        <x:v>https://culturaiquique.cl/</x:v>
      </x:c>
      <x:c r="X392" t="n">
        <x:v>46285.625</x:v>
      </x:c>
      <x:c r="Y392" t="str">
        <x:v>Operativa: programación institucional accesible de Iquique y la Región de Tarapacá.</x:v>
      </x:c>
    </x:row>
    <x:row r="393">
      <x:c r="A393" s="1" t="str">
        <x:v>CL-FUE-0392</x:v>
      </x:c>
      <x:c r="B393" s="1" t="str">
        <x:v>FondasChile · Septiembre</x:v>
      </x:c>
      <x:c r="C393" s="1" t="str">
        <x:v>FondasChile</x:v>
      </x:c>
      <x:c r="D393" s="1" t="str">
        <x:v>Cartelera cultural estacional</x:v>
      </x:c>
      <x:c r="E393" s="1" t="str">
        <x:v>Nacional</x:v>
      </x:c>
      <x:c r="F393" s="1" t="str">
        <x:v>Todas</x:v>
      </x:c>
      <x:c r="G393" s="1"/>
      <x:c r="H393" s="1" t="str">
        <x:v>Fiestas tradicionales; Música; Gastronomía patrimonial</x:v>
      </x:c>
      <x:c r="I393" s="1" t="str">
        <x:v>Cartelera estacional</x:v>
      </x:c>
      <x:c r="J393" s="1" t="str">
        <x:v>https://www.fondaschile.cl/</x:v>
      </x:c>
      <x:c r="K393" s="1" t="str">
        <x:v>https://www.fondaschile.cl/</x:v>
      </x:c>
      <x:c r="L393" s="1" t="str">
        <x:v>Integrada operativa estacional</x:v>
      </x:c>
      <x:c r="M393" s="1" t="str">
        <x:v>Sí</x:v>
      </x:c>
      <x:c r="N393" s="1" t="str">
        <x:v>Alta</x:v>
      </x:c>
      <x:c r="O393" s="1" t="str">
        <x:v>html_cards</x:v>
      </x:c>
      <x:c r="P393" s="1" t="n">
        <x:v>46285.625</x:v>
      </x:c>
      <x:c r="Q393" s="1" t="str">
        <x:v>Integración activa únicamente durante septiembre mediante active_months.</x:v>
      </x:c>
      <x:c r="R393" t="str">
        <x:v>Aprobada técnicamente</x:v>
      </x:c>
      <x:c r="S393" t="n">
        <x:v>100</x:v>
      </x:c>
      <x:c r="T393" t="str">
        <x:v>alta</x:v>
      </x:c>
      <x:c r="U393" t="n">
        <x:v>200</x:v>
      </x:c>
      <x:c r="V393" t="str">
        <x:v>Sin dato</x:v>
      </x:c>
      <x:c r="W393" t="str">
        <x:v>https://www.fondaschile.cl/</x:v>
      </x:c>
      <x:c r="X393" t="n">
        <x:v>46285.625</x:v>
      </x:c>
      <x:c r="Y393" t="str">
        <x:v>Operativa en septiembre: fondas y actividades de Fiestas Patrias con cobertura nacional.</x:v>
      </x:c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</x:row>
  </x:sheetData>
  <x:conditionalFormatting sqref="L2:L391">
    <x:cfRule type="expression" dxfId="0" priority="1">
      <x:formula>$L2="Integrada activa"</x:formula>
    </x:cfRule>
    <x:cfRule type="expression" dxfId="1" priority="2">
      <x:formula>$L2="Configurada inactiva"</x:formula>
    </x:cfRule>
    <x:cfRule type="expression" dxfId="2" priority="3">
      <x:formula>$L2="Candidata verificada"</x:formula>
    </x:cfRule>
    <x:cfRule type="expression" dxfId="3" priority="4">
      <x:formula>$L2="Referencia territorial"</x:formula>
    </x:cfRule>
  </x:conditionalFormatting>
  <x:conditionalFormatting sqref="R2:R391">
    <x:cfRule type="expression" dxfId="12" priority="5">
      <x:formula>$R2="Aprobada técnicamente"</x:formula>
    </x:cfRule>
    <x:cfRule type="expression" dxfId="13" priority="6">
      <x:formula>$R2="Revisión manual"</x:formula>
    </x:cfRule>
    <x:cfRule type="expression" dxfId="14" priority="7">
      <x:formula>$R2="No aprobada"</x:formula>
    </x:cfRule>
    <x:cfRule type="expression" dxfId="15" priority="8">
      <x:formula>$R2="Referencia sin agenda"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3e58e2532804d1c"/>
  </x:tableParts>
</x:worksheet>
</file>

<file path=xl/worksheets/sheet3.xml><?xml version="1.0" encoding="utf-8"?>
<x:worksheet xmlns:x="http://schemas.openxmlformats.org/spreadsheetml/2006/main">
  <x:sheetPr>
    <x:tabColor rgb="FF6B4C9A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6" hidden="0" customWidth="1"/>
    <x:col min="2" max="2" width="82" hidden="0" customWidth="1"/>
    <x:col min="3" max="3" width="58" hidden="0" customWidth="1"/>
    <x:col min="4" max="4" width="3" hidden="0" customWidth="1"/>
    <x:col min="5" max="5" width="3" hidden="0" customWidth="1"/>
    <x:col min="6" max="6" width="3" hidden="0" customWidth="1"/>
  </x:cols>
  <x:sheetData>
    <x:row r="1">
      <x:c r="A1" s="40" t="str">
        <x:v>Criterios, alcance y trazabilidad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17" t="str">
        <x:v>Metodología para mantener el inventario y evitar que el porcentaje de avance sea engañoso.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>
      <x:c r="A4" s="3" t="str">
        <x:v>Concepto</x:v>
      </x:c>
      <x:c r="B4" s="3" t="str">
        <x:v>Definición / regla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45" customHeight="1">
      <x:c r="A5" s="42" t="str">
        <x:v>Fuente digital evaluable</x:v>
      </x:c>
      <x:c r="B5" s="43" t="str">
        <x:v>Sitio, API, calendario, cartelera, tiquetera o agenda recurrente con una URL pública que puede comprobarse.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45" customHeight="1">
      <x:c r="A6" s="42" t="str">
        <x:v>Aprobada técnicamente</x:v>
      </x:c>
      <x:c r="B6" s="43" t="str">
        <x:v>Cumple acceso, contenido compatible, relevancia cultural, cobertura chilena y señales suficientes de una agenda recurrente. Puede avanzar a diseño de conector.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45" customHeight="1">
      <x:c r="A7" s="42" t="str">
        <x:v>Revisión manual</x:v>
      </x:c>
      <x:c r="B7" s="43" t="str">
        <x:v>La fuente puede ser válida, pero depende de JavaScript, presenta bloqueo temporal, agotó el tiempo o no mostró evidencia suficiente para una decisión automática.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45" customHeight="1">
      <x:c r="A8" s="42" t="str">
        <x:v>No aprobada</x:v>
      </x:c>
      <x:c r="B8" s="43" t="str">
        <x:v>No debe incorporarse al scraping automático en su estado actual. Incluye URLs muertas, contenido no cultural, páginas estacionadas o prohibición expresa de robots.txt.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45" customHeight="1">
      <x:c r="A9" s="42" t="str">
        <x:v>Referencia sin agenda</x:v>
      </x:c>
      <x:c r="B9" s="43" t="str">
        <x:v>Espacio cultural sin URL de eventos identificada. Se conserva como pista territorial y no se cuenta como fuente digital evaluada.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45" customHeight="1">
      <x:c r="A10" s="42" t="str">
        <x:v>Estado de integración previo</x:v>
      </x:c>
      <x:c r="B10" s="43" t="str">
        <x:v>La columna original Estado de integración se conserva como antecedente del prototipo. No reemplaza el resultado técnico de la auditoría.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45" customHeight="1">
      <x:c r="A11" s="42" t="str">
        <x:v>Porcentaje aprobado</x:v>
      </x:c>
      <x:c r="B11" s="43" t="str">
        <x:v>Fuentes aprobadas técnicamente / fuentes digitales evaluadas. Excluye las referencias sin agenda.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45" customHeight="1">
      <x:c r="A12" s="42" t="str">
        <x:v>Ámbito cultural incluido</x:v>
      </x:c>
      <x:c r="B12" s="43" t="str">
        <x:v>Música, teatro, danza, circo, cine, artes visuales, literatura, patrimonio, museos, artesanía, diseño, cultura comunitaria, pueblos originarios, vendimias, gastronomía patrimonial, ferias y exposiciones culturales.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45" customHeight="1">
      <x:c r="A13" s="42" t="str">
        <x:v>Fecha de auditoría</x:v>
      </x:c>
      <x:c r="B13" s="43" t="str">
        <x:v>2026-09-05. La hoja Fuentes conserva la hora exacta de cada comprobación.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45" customHeight="1">
      <x:c r="A14" s="42" t="str">
        <x:v>Alcance legal</x:v>
      </x:c>
      <x:c r="B14" s="43" t="str">
        <x:v>La aprobación es técnica. robots.txt y accesibilidad no constituyen por sí solos una licencia de reutilización; los términos de uso deben comprobarse antes de la operación permanente.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45" customHeight="1">
      <x:c r="A15" s="44" t="str">
        <x:v>Limitación</x:v>
      </x:c>
      <x:c r="B15" s="45" t="str">
        <x:v>Las páginas cambian y algunas cargan datos solo en el navegador. Las fuentes en revisión manual requieren una inspección adicional antes de aprobarse o descartarse.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45" customHeight="1">
      <x:c r="A16" s="92" t="str">
        <x:v>Integración correcta</x:v>
      </x:c>
      <x:c r="B16" s="43" t="str">
        <x:v>Una fuente cuenta como integrada correctamente solo cuando su estado previo es Integrada activa y la auditoría la clasifica como Aprobada técnicamente. El Resumen muestra su proporción sobre las fuentes digitales y sobre las integraciones activas.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>
      <x:c r="A18" s="36" t="str">
        <x:v>Referencia principal</x:v>
      </x:c>
      <x:c r="B18" s="36" t="str">
        <x:v>Uso en el inventario</x:v>
      </x:c>
      <x:c r="C18" s="36" t="str">
        <x:v>URL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>
      <x:c r="A19" s="43" t="str">
        <x:v>Chile Cultura</x:v>
      </x:c>
      <x:c r="B19" s="43" t="str">
        <x:v>Agenda nacional oficial</x:v>
      </x:c>
      <x:c r="C19" s="46" t="str">
        <x:v>https://chilecultura.gob.cl/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>
      <x:c r="A20" s="43" t="str">
        <x:v>ChileAtiende · Chile Cultura</x:v>
      </x:c>
      <x:c r="B20" s="43" t="str">
        <x:v>Respaldo institucional y cobertura nacional</x:v>
      </x:c>
      <x:c r="C20" s="46" t="str">
        <x:v>https://www.chileatiende.gob.cl/fichas/77453-Chile-cultura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>
      <x:c r="A21" s="43" t="str">
        <x:v>Directorio Nacional de Espacios Culturales 2025</x:v>
      </x:c>
      <x:c r="B21" s="43" t="str">
        <x:v>Base territorial oficial de espacios culturales</x:v>
      </x:c>
      <x:c r="C21" s="46" t="str">
        <x:v>https://ciudadania.cultura.gob.cl/directorio_rc_1/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>
      <x:c r="A22" s="43" t="str">
        <x:v>PDF del Directorio Nacional</x:v>
      </x:c>
      <x:c r="B22" s="43" t="str">
        <x:v>Fichas OCR incluidas como referencias territoriales</x:v>
      </x:c>
      <x:c r="C22" s="46" t="str">
        <x:v>https://ciudadania.cultura.gob.cl/wp-content/uploads/2025/12/Directorio_Espacios-Culturales-2025_RC.pdf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>
      <x:c r="A23" s="43" t="str">
        <x:v>Enoturismo Chile</x:v>
      </x:c>
      <x:c r="B23" s="43" t="str">
        <x:v>Agenda y calendario de vendimias</x:v>
      </x:c>
      <x:c r="C23" s="46" t="str">
        <x:v>https://www.enoturismochile.cl/descargas/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>
      <x:c r="A24" s="43" t="str">
        <x:v>Red Salas de Cine</x:v>
      </x:c>
      <x:c r="B24" s="43" t="str">
        <x:v>Red de espacios de exhibición independiente</x:v>
      </x:c>
      <x:c r="C24" s="46" t="str">
        <x:v>https://www.redsalasdecine.cl/salas-de-la-red/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>
      <x:c r="A25" s="43" t="str">
        <x:v>Red Salas de Teatro</x:v>
      </x:c>
      <x:c r="B25" s="43" t="str">
        <x:v>Red sectorial de salas y carteleras</x:v>
      </x:c>
      <x:c r="C25" s="46" t="str">
        <x:v>https://redsalasdeteatro.cl/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>
      <x:c r="A26" s="45" t="str">
        <x:v>CineChile · Festivales</x:v>
      </x:c>
      <x:c r="B26" s="45" t="str">
        <x:v>Directorio de festivales audiovisuales</x:v>
      </x:c>
      <x:c r="C26" s="47" t="str">
        <x:v>https://cinechile.cl/festivales/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</x:row>
    <x:row r="401">
      <x:c r="A401" s="1"/>
      <x:c r="B401" s="1"/>
      <x:c r="C401" s="1"/>
      <x:c r="D401" s="1"/>
      <x:c r="E401" s="1"/>
      <x:c r="F401" s="1"/>
      <x:c r="G401" s="1"/>
      <x:c r="H401" s="1"/>
      <x:c r="I401" s="1"/>
      <x:c r="J401" s="1"/>
      <x:c r="K401" s="1"/>
      <x:c r="L401" s="1"/>
      <x:c r="M401" s="1"/>
      <x:c r="N401" s="1"/>
      <x:c r="O401" s="1"/>
      <x:c r="P401" s="1"/>
      <x:c r="Q401" s="1"/>
    </x:row>
    <x:row r="402">
      <x:c r="A402" s="1"/>
      <x:c r="B402" s="1"/>
      <x:c r="C402" s="1"/>
      <x:c r="D402" s="1"/>
      <x:c r="E402" s="1"/>
      <x:c r="F402" s="1"/>
      <x:c r="G402" s="1"/>
      <x:c r="H402" s="1"/>
      <x:c r="I402" s="1"/>
      <x:c r="J402" s="1"/>
      <x:c r="K402" s="1"/>
      <x:c r="L402" s="1"/>
      <x:c r="M402" s="1"/>
      <x:c r="N402" s="1"/>
      <x:c r="O402" s="1"/>
      <x:c r="P402" s="1"/>
      <x:c r="Q402" s="1"/>
    </x:row>
    <x:row r="403">
      <x:c r="A403" s="1"/>
      <x:c r="B403" s="1"/>
      <x:c r="C403" s="1"/>
      <x:c r="D403" s="1"/>
      <x:c r="E403" s="1"/>
      <x:c r="F403" s="1"/>
      <x:c r="G403" s="1"/>
      <x:c r="H403" s="1"/>
      <x:c r="I403" s="1"/>
      <x:c r="J403" s="1"/>
      <x:c r="K403" s="1"/>
      <x:c r="L403" s="1"/>
      <x:c r="M403" s="1"/>
      <x:c r="N403" s="1"/>
      <x:c r="O403" s="1"/>
      <x:c r="P403" s="1"/>
      <x:c r="Q403" s="1"/>
    </x:row>
    <x:row r="404">
      <x:c r="A404" s="1"/>
      <x:c r="B404" s="1"/>
      <x:c r="C404" s="1"/>
      <x:c r="D404" s="1"/>
      <x:c r="E404" s="1"/>
      <x:c r="F404" s="1"/>
      <x:c r="G404" s="1"/>
      <x:c r="H404" s="1"/>
      <x:c r="I404" s="1"/>
      <x:c r="J404" s="1"/>
      <x:c r="K404" s="1"/>
      <x:c r="L404" s="1"/>
      <x:c r="M404" s="1"/>
      <x:c r="N404" s="1"/>
      <x:c r="O404" s="1"/>
      <x:c r="P404" s="1"/>
      <x:c r="Q404" s="1"/>
    </x:row>
    <x:row r="405">
      <x:c r="A405" s="1"/>
      <x:c r="B405" s="1"/>
      <x:c r="C405" s="1"/>
      <x:c r="D405" s="1"/>
      <x:c r="E405" s="1"/>
      <x:c r="F405" s="1"/>
      <x:c r="G405" s="1"/>
      <x:c r="H405" s="1"/>
      <x:c r="I405" s="1"/>
      <x:c r="J405" s="1"/>
      <x:c r="K405" s="1"/>
      <x:c r="L405" s="1"/>
      <x:c r="M405" s="1"/>
      <x:c r="N405" s="1"/>
      <x:c r="O405" s="1"/>
      <x:c r="P405" s="1"/>
      <x:c r="Q405" s="1"/>
    </x:row>
    <x:row r="406">
      <x:c r="A406" s="1"/>
      <x:c r="B406" s="1"/>
      <x:c r="C406" s="1"/>
      <x:c r="D406" s="1"/>
      <x:c r="E406" s="1"/>
      <x:c r="F406" s="1"/>
      <x:c r="G406" s="1"/>
      <x:c r="H406" s="1"/>
      <x:c r="I406" s="1"/>
      <x:c r="J406" s="1"/>
      <x:c r="K406" s="1"/>
      <x:c r="L406" s="1"/>
      <x:c r="M406" s="1"/>
      <x:c r="N406" s="1"/>
      <x:c r="O406" s="1"/>
      <x:c r="P406" s="1"/>
      <x:c r="Q406" s="1"/>
    </x:row>
    <x:row r="407">
      <x:c r="A407" s="1"/>
      <x:c r="B407" s="1"/>
      <x:c r="C407" s="1"/>
      <x:c r="D407" s="1"/>
      <x:c r="E407" s="1"/>
      <x:c r="F407" s="1"/>
      <x:c r="G407" s="1"/>
      <x:c r="H407" s="1"/>
      <x:c r="I407" s="1"/>
      <x:c r="J407" s="1"/>
      <x:c r="K407" s="1"/>
      <x:c r="L407" s="1"/>
      <x:c r="M407" s="1"/>
      <x:c r="N407" s="1"/>
      <x:c r="O407" s="1"/>
      <x:c r="P407" s="1"/>
      <x:c r="Q407" s="1"/>
    </x:row>
    <x:row r="408">
      <x:c r="A408" s="1"/>
      <x:c r="B408" s="1"/>
      <x:c r="C408" s="1"/>
      <x:c r="D408" s="1"/>
      <x:c r="E408" s="1"/>
      <x:c r="F408" s="1"/>
      <x:c r="G408" s="1"/>
      <x:c r="H408" s="1"/>
      <x:c r="I408" s="1"/>
      <x:c r="J408" s="1"/>
      <x:c r="K408" s="1"/>
      <x:c r="L408" s="1"/>
      <x:c r="M408" s="1"/>
      <x:c r="N408" s="1"/>
      <x:c r="O408" s="1"/>
      <x:c r="P408" s="1"/>
      <x:c r="Q408" s="1"/>
    </x:row>
    <x:row r="409">
      <x:c r="A409" s="1"/>
      <x:c r="B409" s="1"/>
      <x:c r="C409" s="1"/>
      <x:c r="D409" s="1"/>
      <x:c r="E409" s="1"/>
      <x:c r="F409" s="1"/>
      <x:c r="G409" s="1"/>
      <x:c r="H409" s="1"/>
      <x:c r="I409" s="1"/>
      <x:c r="J409" s="1"/>
      <x:c r="K409" s="1"/>
      <x:c r="L409" s="1"/>
      <x:c r="M409" s="1"/>
      <x:c r="N409" s="1"/>
      <x:c r="O409" s="1"/>
      <x:c r="P409" s="1"/>
      <x:c r="Q409" s="1"/>
    </x:row>
    <x:row r="410">
      <x:c r="A410" s="1"/>
      <x:c r="B410" s="1"/>
      <x:c r="C410" s="1"/>
      <x:c r="D410" s="1"/>
      <x:c r="E410" s="1"/>
      <x:c r="F410" s="1"/>
      <x:c r="G410" s="1"/>
      <x:c r="H410" s="1"/>
      <x:c r="I410" s="1"/>
      <x:c r="J410" s="1"/>
      <x:c r="K410" s="1"/>
      <x:c r="L410" s="1"/>
      <x:c r="M410" s="1"/>
      <x:c r="N410" s="1"/>
      <x:c r="O410" s="1"/>
      <x:c r="P410" s="1"/>
      <x:c r="Q410" s="1"/>
    </x:row>
    <x:row r="411">
      <x:c r="A411" s="1"/>
      <x:c r="B411" s="1"/>
      <x:c r="C411" s="1"/>
      <x:c r="D411" s="1"/>
      <x:c r="E411" s="1"/>
      <x:c r="F411" s="1"/>
      <x:c r="G411" s="1"/>
      <x:c r="H411" s="1"/>
      <x:c r="I411" s="1"/>
      <x:c r="J411" s="1"/>
      <x:c r="K411" s="1"/>
      <x:c r="L411" s="1"/>
      <x:c r="M411" s="1"/>
      <x:c r="N411" s="1"/>
      <x:c r="O411" s="1"/>
      <x:c r="P411" s="1"/>
      <x:c r="Q411" s="1"/>
    </x:row>
    <x:row r="412">
      <x:c r="A412" s="1"/>
      <x:c r="B412" s="1"/>
      <x:c r="C412" s="1"/>
      <x:c r="D412" s="1"/>
      <x:c r="E412" s="1"/>
      <x:c r="F412" s="1"/>
      <x:c r="G412" s="1"/>
      <x:c r="H412" s="1"/>
      <x:c r="I412" s="1"/>
      <x:c r="J412" s="1"/>
      <x:c r="K412" s="1"/>
      <x:c r="L412" s="1"/>
      <x:c r="M412" s="1"/>
      <x:c r="N412" s="1"/>
      <x:c r="O412" s="1"/>
      <x:c r="P412" s="1"/>
      <x:c r="Q412" s="1"/>
    </x:row>
    <x:row r="413">
      <x:c r="A413" s="1"/>
      <x:c r="B413" s="1"/>
      <x:c r="C413" s="1"/>
      <x:c r="D413" s="1"/>
      <x:c r="E413" s="1"/>
      <x:c r="F413" s="1"/>
      <x:c r="G413" s="1"/>
      <x:c r="H413" s="1"/>
      <x:c r="I413" s="1"/>
      <x:c r="J413" s="1"/>
      <x:c r="K413" s="1"/>
      <x:c r="L413" s="1"/>
      <x:c r="M413" s="1"/>
      <x:c r="N413" s="1"/>
      <x:c r="O413" s="1"/>
      <x:c r="P413" s="1"/>
      <x:c r="Q413" s="1"/>
    </x:row>
    <x:row r="414">
      <x:c r="A414" s="1"/>
      <x:c r="B414" s="1"/>
      <x:c r="C414" s="1"/>
      <x:c r="D414" s="1"/>
      <x:c r="E414" s="1"/>
      <x:c r="F414" s="1"/>
      <x:c r="G414" s="1"/>
      <x:c r="H414" s="1"/>
      <x:c r="I414" s="1"/>
      <x:c r="J414" s="1"/>
      <x:c r="K414" s="1"/>
      <x:c r="L414" s="1"/>
      <x:c r="M414" s="1"/>
      <x:c r="N414" s="1"/>
      <x:c r="O414" s="1"/>
      <x:c r="P414" s="1"/>
      <x:c r="Q414" s="1"/>
    </x:row>
    <x:row r="415">
      <x:c r="A415" s="1"/>
      <x:c r="B415" s="1"/>
      <x:c r="C415" s="1"/>
      <x:c r="D415" s="1"/>
      <x:c r="E415" s="1"/>
      <x:c r="F415" s="1"/>
      <x:c r="G415" s="1"/>
      <x:c r="H415" s="1"/>
      <x:c r="I415" s="1"/>
      <x:c r="J415" s="1"/>
      <x:c r="K415" s="1"/>
      <x:c r="L415" s="1"/>
      <x:c r="M415" s="1"/>
      <x:c r="N415" s="1"/>
      <x:c r="O415" s="1"/>
      <x:c r="P415" s="1"/>
      <x:c r="Q415" s="1"/>
    </x:row>
    <x:row r="416">
      <x:c r="A416" s="1"/>
      <x:c r="B416" s="1"/>
      <x:c r="C416" s="1"/>
      <x:c r="D416" s="1"/>
      <x:c r="E416" s="1"/>
      <x:c r="F416" s="1"/>
      <x:c r="G416" s="1"/>
      <x:c r="H416" s="1"/>
      <x:c r="I416" s="1"/>
      <x:c r="J416" s="1"/>
      <x:c r="K416" s="1"/>
      <x:c r="L416" s="1"/>
      <x:c r="M416" s="1"/>
      <x:c r="N416" s="1"/>
      <x:c r="O416" s="1"/>
      <x:c r="P416" s="1"/>
      <x:c r="Q416" s="1"/>
    </x:row>
    <x:row r="417">
      <x:c r="A417" s="1"/>
      <x:c r="B417" s="1"/>
      <x:c r="C417" s="1"/>
      <x:c r="D417" s="1"/>
      <x:c r="E417" s="1"/>
      <x:c r="F417" s="1"/>
      <x:c r="G417" s="1"/>
      <x:c r="H417" s="1"/>
      <x:c r="I417" s="1"/>
      <x:c r="J417" s="1"/>
      <x:c r="K417" s="1"/>
      <x:c r="L417" s="1"/>
      <x:c r="M417" s="1"/>
      <x:c r="N417" s="1"/>
      <x:c r="O417" s="1"/>
      <x:c r="P417" s="1"/>
      <x:c r="Q417" s="1"/>
    </x:row>
    <x:row r="418">
      <x:c r="A418" s="1"/>
      <x:c r="B418" s="1"/>
      <x:c r="C418" s="1"/>
      <x:c r="D418" s="1"/>
      <x:c r="E418" s="1"/>
      <x:c r="F418" s="1"/>
      <x:c r="G418" s="1"/>
      <x:c r="H418" s="1"/>
      <x:c r="I418" s="1"/>
      <x:c r="J418" s="1"/>
      <x:c r="K418" s="1"/>
      <x:c r="L418" s="1"/>
      <x:c r="M418" s="1"/>
      <x:c r="N418" s="1"/>
      <x:c r="O418" s="1"/>
      <x:c r="P418" s="1"/>
      <x:c r="Q418" s="1"/>
    </x:row>
    <x:row r="419">
      <x:c r="A419" s="1"/>
      <x:c r="B419" s="1"/>
      <x:c r="C419" s="1"/>
      <x:c r="D419" s="1"/>
      <x:c r="E419" s="1"/>
      <x:c r="F419" s="1"/>
      <x:c r="G419" s="1"/>
      <x:c r="H419" s="1"/>
      <x:c r="I419" s="1"/>
      <x:c r="J419" s="1"/>
      <x:c r="K419" s="1"/>
      <x:c r="L419" s="1"/>
      <x:c r="M419" s="1"/>
      <x:c r="N419" s="1"/>
      <x:c r="O419" s="1"/>
      <x:c r="P419" s="1"/>
      <x:c r="Q419" s="1"/>
    </x:row>
    <x:row r="420">
      <x:c r="A420" s="1"/>
      <x:c r="B420" s="1"/>
      <x:c r="C420" s="1"/>
      <x:c r="D420" s="1"/>
      <x:c r="E420" s="1"/>
      <x:c r="F420" s="1"/>
      <x:c r="G420" s="1"/>
      <x:c r="H420" s="1"/>
      <x:c r="I420" s="1"/>
      <x:c r="J420" s="1"/>
      <x:c r="K420" s="1"/>
      <x:c r="L420" s="1"/>
      <x:c r="M420" s="1"/>
      <x:c r="N420" s="1"/>
      <x:c r="O420" s="1"/>
      <x:c r="P420" s="1"/>
      <x:c r="Q420" s="1"/>
    </x:row>
    <x:row r="421">
      <x:c r="A421" s="1"/>
      <x:c r="B421" s="1"/>
      <x:c r="C421" s="1"/>
      <x:c r="D421" s="1"/>
      <x:c r="E421" s="1"/>
      <x:c r="F421" s="1"/>
      <x:c r="G421" s="1"/>
      <x:c r="H421" s="1"/>
      <x:c r="I421" s="1"/>
      <x:c r="J421" s="1"/>
      <x:c r="K421" s="1"/>
      <x:c r="L421" s="1"/>
      <x:c r="M421" s="1"/>
      <x:c r="N421" s="1"/>
      <x:c r="O421" s="1"/>
      <x:c r="P421" s="1"/>
      <x:c r="Q421" s="1"/>
    </x:row>
    <x:row r="422">
      <x:c r="A422" s="1"/>
      <x:c r="B422" s="1"/>
      <x:c r="C422" s="1"/>
      <x:c r="D422" s="1"/>
      <x:c r="E422" s="1"/>
      <x:c r="F422" s="1"/>
      <x:c r="G422" s="1"/>
      <x:c r="H422" s="1"/>
      <x:c r="I422" s="1"/>
      <x:c r="J422" s="1"/>
      <x:c r="K422" s="1"/>
      <x:c r="L422" s="1"/>
      <x:c r="M422" s="1"/>
      <x:c r="N422" s="1"/>
      <x:c r="O422" s="1"/>
      <x:c r="P422" s="1"/>
      <x:c r="Q422" s="1"/>
    </x:row>
    <x:row r="423">
      <x:c r="A423" s="1"/>
      <x:c r="B423" s="1"/>
      <x:c r="C423" s="1"/>
      <x:c r="D423" s="1"/>
      <x:c r="E423" s="1"/>
      <x:c r="F423" s="1"/>
      <x:c r="G423" s="1"/>
      <x:c r="H423" s="1"/>
      <x:c r="I423" s="1"/>
      <x:c r="J423" s="1"/>
      <x:c r="K423" s="1"/>
      <x:c r="L423" s="1"/>
      <x:c r="M423" s="1"/>
      <x:c r="N423" s="1"/>
      <x:c r="O423" s="1"/>
      <x:c r="P423" s="1"/>
      <x:c r="Q423" s="1"/>
    </x:row>
    <x:row r="424">
      <x:c r="A424" s="1"/>
      <x:c r="B424" s="1"/>
      <x:c r="C424" s="1"/>
      <x:c r="D424" s="1"/>
      <x:c r="E424" s="1"/>
      <x:c r="F424" s="1"/>
      <x:c r="G424" s="1"/>
      <x:c r="H424" s="1"/>
      <x:c r="I424" s="1"/>
      <x:c r="J424" s="1"/>
      <x:c r="K424" s="1"/>
      <x:c r="L424" s="1"/>
      <x:c r="M424" s="1"/>
      <x:c r="N424" s="1"/>
      <x:c r="O424" s="1"/>
      <x:c r="P424" s="1"/>
      <x:c r="Q424" s="1"/>
    </x:row>
    <x:row r="425">
      <x:c r="A425" s="1"/>
      <x:c r="B425" s="1"/>
      <x:c r="C425" s="1"/>
      <x:c r="D425" s="1"/>
      <x:c r="E425" s="1"/>
      <x:c r="F425" s="1"/>
      <x:c r="G425" s="1"/>
      <x:c r="H425" s="1"/>
      <x:c r="I425" s="1"/>
      <x:c r="J425" s="1"/>
      <x:c r="K425" s="1"/>
      <x:c r="L425" s="1"/>
      <x:c r="M425" s="1"/>
      <x:c r="N425" s="1"/>
      <x:c r="O425" s="1"/>
      <x:c r="P425" s="1"/>
      <x:c r="Q425" s="1"/>
    </x:row>
    <x:row r="426">
      <x:c r="A426" s="1"/>
      <x:c r="B426" s="1"/>
      <x:c r="C426" s="1"/>
      <x:c r="D426" s="1"/>
      <x:c r="E426" s="1"/>
      <x:c r="F426" s="1"/>
      <x:c r="G426" s="1"/>
      <x:c r="H426" s="1"/>
      <x:c r="I426" s="1"/>
      <x:c r="J426" s="1"/>
      <x:c r="K426" s="1"/>
      <x:c r="L426" s="1"/>
      <x:c r="M426" s="1"/>
      <x:c r="N426" s="1"/>
      <x:c r="O426" s="1"/>
      <x:c r="P426" s="1"/>
      <x:c r="Q426" s="1"/>
    </x:row>
    <x:row r="427">
      <x:c r="A427" s="1"/>
      <x:c r="B427" s="1"/>
      <x:c r="C427" s="1"/>
      <x:c r="D427" s="1"/>
      <x:c r="E427" s="1"/>
      <x:c r="F427" s="1"/>
      <x:c r="G427" s="1"/>
      <x:c r="H427" s="1"/>
      <x:c r="I427" s="1"/>
      <x:c r="J427" s="1"/>
      <x:c r="K427" s="1"/>
      <x:c r="L427" s="1"/>
      <x:c r="M427" s="1"/>
      <x:c r="N427" s="1"/>
      <x:c r="O427" s="1"/>
      <x:c r="P427" s="1"/>
      <x:c r="Q427" s="1"/>
    </x:row>
    <x:row r="428">
      <x:c r="A428" s="1"/>
      <x:c r="B428" s="1"/>
      <x:c r="C428" s="1"/>
      <x:c r="D428" s="1"/>
      <x:c r="E428" s="1"/>
      <x:c r="F428" s="1"/>
      <x:c r="G428" s="1"/>
      <x:c r="H428" s="1"/>
      <x:c r="I428" s="1"/>
      <x:c r="J428" s="1"/>
      <x:c r="K428" s="1"/>
      <x:c r="L428" s="1"/>
      <x:c r="M428" s="1"/>
      <x:c r="N428" s="1"/>
      <x:c r="O428" s="1"/>
      <x:c r="P428" s="1"/>
      <x:c r="Q428" s="1"/>
    </x:row>
    <x:row r="429">
      <x:c r="A429" s="1"/>
      <x:c r="B429" s="1"/>
      <x:c r="C429" s="1"/>
      <x:c r="D429" s="1"/>
      <x:c r="E429" s="1"/>
      <x:c r="F429" s="1"/>
      <x:c r="G429" s="1"/>
      <x:c r="H429" s="1"/>
      <x:c r="I429" s="1"/>
      <x:c r="J429" s="1"/>
      <x:c r="K429" s="1"/>
      <x:c r="L429" s="1"/>
      <x:c r="M429" s="1"/>
      <x:c r="N429" s="1"/>
      <x:c r="O429" s="1"/>
      <x:c r="P429" s="1"/>
      <x:c r="Q429" s="1"/>
    </x:row>
    <x:row r="430">
      <x:c r="A430" s="1"/>
      <x:c r="B430" s="1"/>
      <x:c r="C430" s="1"/>
      <x:c r="D430" s="1"/>
      <x:c r="E430" s="1"/>
      <x:c r="F430" s="1"/>
      <x:c r="G430" s="1"/>
      <x:c r="H430" s="1"/>
      <x:c r="I430" s="1"/>
      <x:c r="J430" s="1"/>
      <x:c r="K430" s="1"/>
      <x:c r="L430" s="1"/>
      <x:c r="M430" s="1"/>
      <x:c r="N430" s="1"/>
      <x:c r="O430" s="1"/>
      <x:c r="P430" s="1"/>
      <x:c r="Q430" s="1"/>
    </x:row>
    <x:row r="431">
      <x:c r="A431" s="1"/>
      <x:c r="B431" s="1"/>
      <x:c r="C431" s="1"/>
      <x:c r="D431" s="1"/>
      <x:c r="E431" s="1"/>
      <x:c r="F431" s="1"/>
      <x:c r="G431" s="1"/>
      <x:c r="H431" s="1"/>
      <x:c r="I431" s="1"/>
      <x:c r="J431" s="1"/>
      <x:c r="K431" s="1"/>
      <x:c r="L431" s="1"/>
      <x:c r="M431" s="1"/>
      <x:c r="N431" s="1"/>
      <x:c r="O431" s="1"/>
      <x:c r="P431" s="1"/>
      <x:c r="Q431" s="1"/>
    </x:row>
    <x:row r="432">
      <x:c r="A432" s="1"/>
      <x:c r="B432" s="1"/>
      <x:c r="C432" s="1"/>
      <x:c r="D432" s="1"/>
      <x:c r="E432" s="1"/>
      <x:c r="F432" s="1"/>
      <x:c r="G432" s="1"/>
      <x:c r="H432" s="1"/>
      <x:c r="I432" s="1"/>
      <x:c r="J432" s="1"/>
      <x:c r="K432" s="1"/>
      <x:c r="L432" s="1"/>
      <x:c r="M432" s="1"/>
      <x:c r="N432" s="1"/>
      <x:c r="O432" s="1"/>
      <x:c r="P432" s="1"/>
      <x:c r="Q432" s="1"/>
    </x:row>
    <x:row r="433">
      <x:c r="A433" s="1"/>
      <x:c r="B433" s="1"/>
      <x:c r="C433" s="1"/>
      <x:c r="D433" s="1"/>
      <x:c r="E433" s="1"/>
      <x:c r="F433" s="1"/>
      <x:c r="G433" s="1"/>
      <x:c r="H433" s="1"/>
      <x:c r="I433" s="1"/>
      <x:c r="J433" s="1"/>
      <x:c r="K433" s="1"/>
      <x:c r="L433" s="1"/>
      <x:c r="M433" s="1"/>
      <x:c r="N433" s="1"/>
      <x:c r="O433" s="1"/>
      <x:c r="P433" s="1"/>
      <x:c r="Q433" s="1"/>
    </x:row>
    <x:row r="434">
      <x:c r="A434" s="1"/>
      <x:c r="B434" s="1"/>
      <x:c r="C434" s="1"/>
      <x:c r="D434" s="1"/>
      <x:c r="E434" s="1"/>
      <x:c r="F434" s="1"/>
      <x:c r="G434" s="1"/>
      <x:c r="H434" s="1"/>
      <x:c r="I434" s="1"/>
      <x:c r="J434" s="1"/>
      <x:c r="K434" s="1"/>
      <x:c r="L434" s="1"/>
      <x:c r="M434" s="1"/>
      <x:c r="N434" s="1"/>
      <x:c r="O434" s="1"/>
      <x:c r="P434" s="1"/>
      <x:c r="Q434" s="1"/>
    </x:row>
    <x:row r="435">
      <x:c r="A435" s="1"/>
      <x:c r="B435" s="1"/>
      <x:c r="C435" s="1"/>
      <x:c r="D435" s="1"/>
      <x:c r="E435" s="1"/>
      <x:c r="F435" s="1"/>
      <x:c r="G435" s="1"/>
      <x:c r="H435" s="1"/>
      <x:c r="I435" s="1"/>
      <x:c r="J435" s="1"/>
      <x:c r="K435" s="1"/>
      <x:c r="L435" s="1"/>
      <x:c r="M435" s="1"/>
      <x:c r="N435" s="1"/>
      <x:c r="O435" s="1"/>
      <x:c r="P435" s="1"/>
      <x:c r="Q435" s="1"/>
    </x:row>
    <x:row r="436">
      <x:c r="A436" s="1"/>
      <x:c r="B436" s="1"/>
      <x:c r="C436" s="1"/>
      <x:c r="D436" s="1"/>
      <x:c r="E436" s="1"/>
      <x:c r="F436" s="1"/>
      <x:c r="G436" s="1"/>
      <x:c r="H436" s="1"/>
      <x:c r="I436" s="1"/>
      <x:c r="J436" s="1"/>
      <x:c r="K436" s="1"/>
      <x:c r="L436" s="1"/>
      <x:c r="M436" s="1"/>
      <x:c r="N436" s="1"/>
      <x:c r="O436" s="1"/>
      <x:c r="P436" s="1"/>
      <x:c r="Q436" s="1"/>
    </x:row>
    <x:row r="437">
      <x:c r="A437" s="1"/>
      <x:c r="B437" s="1"/>
      <x:c r="C437" s="1"/>
      <x:c r="D437" s="1"/>
      <x:c r="E437" s="1"/>
      <x:c r="F437" s="1"/>
      <x:c r="G437" s="1"/>
      <x:c r="H437" s="1"/>
      <x:c r="I437" s="1"/>
      <x:c r="J437" s="1"/>
      <x:c r="K437" s="1"/>
      <x:c r="L437" s="1"/>
      <x:c r="M437" s="1"/>
      <x:c r="N437" s="1"/>
      <x:c r="O437" s="1"/>
      <x:c r="P437" s="1"/>
      <x:c r="Q437" s="1"/>
    </x:row>
    <x:row r="438">
      <x:c r="A438" s="1"/>
      <x:c r="B438" s="1"/>
      <x:c r="C438" s="1"/>
      <x:c r="D438" s="1"/>
      <x:c r="E438" s="1"/>
      <x:c r="F438" s="1"/>
      <x:c r="G438" s="1"/>
      <x:c r="H438" s="1"/>
      <x:c r="I438" s="1"/>
      <x:c r="J438" s="1"/>
      <x:c r="K438" s="1"/>
      <x:c r="L438" s="1"/>
      <x:c r="M438" s="1"/>
      <x:c r="N438" s="1"/>
      <x:c r="O438" s="1"/>
      <x:c r="P438" s="1"/>
      <x:c r="Q438" s="1"/>
    </x:row>
    <x:row r="439">
      <x:c r="A439" s="1"/>
      <x:c r="B439" s="1"/>
      <x:c r="C439" s="1"/>
      <x:c r="D439" s="1"/>
      <x:c r="E439" s="1"/>
      <x:c r="F439" s="1"/>
      <x:c r="G439" s="1"/>
      <x:c r="H439" s="1"/>
      <x:c r="I439" s="1"/>
      <x:c r="J439" s="1"/>
      <x:c r="K439" s="1"/>
      <x:c r="L439" s="1"/>
      <x:c r="M439" s="1"/>
      <x:c r="N439" s="1"/>
      <x:c r="O439" s="1"/>
      <x:c r="P439" s="1"/>
      <x:c r="Q439" s="1"/>
    </x:row>
    <x:row r="440">
      <x:c r="A440" s="1"/>
      <x:c r="B440" s="1"/>
      <x:c r="C440" s="1"/>
      <x:c r="D440" s="1"/>
      <x:c r="E440" s="1"/>
      <x:c r="F440" s="1"/>
      <x:c r="G440" s="1"/>
      <x:c r="H440" s="1"/>
      <x:c r="I440" s="1"/>
      <x:c r="J440" s="1"/>
      <x:c r="K440" s="1"/>
      <x:c r="L440" s="1"/>
      <x:c r="M440" s="1"/>
      <x:c r="N440" s="1"/>
      <x:c r="O440" s="1"/>
      <x:c r="P440" s="1"/>
      <x:c r="Q440" s="1"/>
    </x:row>
    <x:row r="441">
      <x:c r="A441" s="1"/>
      <x:c r="B441" s="1"/>
      <x:c r="C441" s="1"/>
      <x:c r="D441" s="1"/>
      <x:c r="E441" s="1"/>
      <x:c r="F441" s="1"/>
      <x:c r="G441" s="1"/>
      <x:c r="H441" s="1"/>
      <x:c r="I441" s="1"/>
      <x:c r="J441" s="1"/>
      <x:c r="K441" s="1"/>
      <x:c r="L441" s="1"/>
      <x:c r="M441" s="1"/>
      <x:c r="N441" s="1"/>
      <x:c r="O441" s="1"/>
      <x:c r="P441" s="1"/>
      <x:c r="Q441" s="1"/>
    </x:row>
    <x:row r="442">
      <x:c r="A442" s="1"/>
      <x:c r="B442" s="1"/>
      <x:c r="C442" s="1"/>
      <x:c r="D442" s="1"/>
      <x:c r="E442" s="1"/>
      <x:c r="F442" s="1"/>
      <x:c r="G442" s="1"/>
      <x:c r="H442" s="1"/>
      <x:c r="I442" s="1"/>
      <x:c r="J442" s="1"/>
      <x:c r="K442" s="1"/>
      <x:c r="L442" s="1"/>
      <x:c r="M442" s="1"/>
      <x:c r="N442" s="1"/>
      <x:c r="O442" s="1"/>
      <x:c r="P442" s="1"/>
      <x:c r="Q442" s="1"/>
    </x:row>
    <x:row r="443">
      <x:c r="A443" s="1"/>
      <x:c r="B443" s="1"/>
      <x:c r="C443" s="1"/>
      <x:c r="D443" s="1"/>
      <x:c r="E443" s="1"/>
      <x:c r="F443" s="1"/>
      <x:c r="G443" s="1"/>
      <x:c r="H443" s="1"/>
      <x:c r="I443" s="1"/>
      <x:c r="J443" s="1"/>
      <x:c r="K443" s="1"/>
      <x:c r="L443" s="1"/>
      <x:c r="M443" s="1"/>
      <x:c r="N443" s="1"/>
      <x:c r="O443" s="1"/>
      <x:c r="P443" s="1"/>
      <x:c r="Q443" s="1"/>
    </x:row>
    <x:row r="444">
      <x:c r="A444" s="1"/>
      <x:c r="B444" s="1"/>
      <x:c r="C444" s="1"/>
      <x:c r="D444" s="1"/>
      <x:c r="E444" s="1"/>
      <x:c r="F444" s="1"/>
      <x:c r="G444" s="1"/>
      <x:c r="H444" s="1"/>
      <x:c r="I444" s="1"/>
      <x:c r="J444" s="1"/>
      <x:c r="K444" s="1"/>
      <x:c r="L444" s="1"/>
      <x:c r="M444" s="1"/>
      <x:c r="N444" s="1"/>
      <x:c r="O444" s="1"/>
      <x:c r="P444" s="1"/>
      <x:c r="Q444" s="1"/>
    </x:row>
    <x:row r="445">
      <x:c r="A445" s="1"/>
      <x:c r="B445" s="1"/>
      <x:c r="C445" s="1"/>
      <x:c r="D445" s="1"/>
      <x:c r="E445" s="1"/>
      <x:c r="F445" s="1"/>
      <x:c r="G445" s="1"/>
      <x:c r="H445" s="1"/>
      <x:c r="I445" s="1"/>
      <x:c r="J445" s="1"/>
      <x:c r="K445" s="1"/>
      <x:c r="L445" s="1"/>
      <x:c r="M445" s="1"/>
      <x:c r="N445" s="1"/>
      <x:c r="O445" s="1"/>
      <x:c r="P445" s="1"/>
      <x:c r="Q445" s="1"/>
    </x:row>
    <x:row r="446">
      <x:c r="A446" s="1"/>
      <x:c r="B446" s="1"/>
      <x:c r="C446" s="1"/>
      <x:c r="D446" s="1"/>
      <x:c r="E446" s="1"/>
      <x:c r="F446" s="1"/>
      <x:c r="G446" s="1"/>
      <x:c r="H446" s="1"/>
      <x:c r="I446" s="1"/>
      <x:c r="J446" s="1"/>
      <x:c r="K446" s="1"/>
      <x:c r="L446" s="1"/>
      <x:c r="M446" s="1"/>
      <x:c r="N446" s="1"/>
      <x:c r="O446" s="1"/>
      <x:c r="P446" s="1"/>
      <x:c r="Q446" s="1"/>
    </x:row>
    <x:row r="447">
      <x:c r="A447" s="1"/>
      <x:c r="B447" s="1"/>
      <x:c r="C447" s="1"/>
      <x:c r="D447" s="1"/>
      <x:c r="E447" s="1"/>
      <x:c r="F447" s="1"/>
      <x:c r="G447" s="1"/>
      <x:c r="H447" s="1"/>
      <x:c r="I447" s="1"/>
      <x:c r="J447" s="1"/>
      <x:c r="K447" s="1"/>
      <x:c r="L447" s="1"/>
      <x:c r="M447" s="1"/>
      <x:c r="N447" s="1"/>
      <x:c r="O447" s="1"/>
      <x:c r="P447" s="1"/>
      <x:c r="Q447" s="1"/>
    </x:row>
    <x:row r="448">
      <x:c r="A448" s="1"/>
      <x:c r="B448" s="1"/>
      <x:c r="C448" s="1"/>
      <x:c r="D448" s="1"/>
      <x:c r="E448" s="1"/>
      <x:c r="F448" s="1"/>
      <x:c r="G448" s="1"/>
      <x:c r="H448" s="1"/>
      <x:c r="I448" s="1"/>
      <x:c r="J448" s="1"/>
      <x:c r="K448" s="1"/>
      <x:c r="L448" s="1"/>
      <x:c r="M448" s="1"/>
      <x:c r="N448" s="1"/>
      <x:c r="O448" s="1"/>
      <x:c r="P448" s="1"/>
      <x:c r="Q448" s="1"/>
    </x:row>
    <x:row r="449">
      <x:c r="A449" s="1"/>
      <x:c r="B449" s="1"/>
      <x:c r="C449" s="1"/>
      <x:c r="D449" s="1"/>
      <x:c r="E449" s="1"/>
      <x:c r="F449" s="1"/>
      <x:c r="G449" s="1"/>
      <x:c r="H449" s="1"/>
      <x:c r="I449" s="1"/>
      <x:c r="J449" s="1"/>
      <x:c r="K449" s="1"/>
      <x:c r="L449" s="1"/>
      <x:c r="M449" s="1"/>
      <x:c r="N449" s="1"/>
      <x:c r="O449" s="1"/>
      <x:c r="P449" s="1"/>
      <x:c r="Q449" s="1"/>
    </x:row>
    <x:row r="450">
      <x:c r="A450" s="1"/>
      <x:c r="B450" s="1"/>
      <x:c r="C450" s="1"/>
      <x:c r="D450" s="1"/>
      <x:c r="E450" s="1"/>
      <x:c r="F450" s="1"/>
      <x:c r="G450" s="1"/>
      <x:c r="H450" s="1"/>
      <x:c r="I450" s="1"/>
      <x:c r="J450" s="1"/>
      <x:c r="K450" s="1"/>
      <x:c r="L450" s="1"/>
      <x:c r="M450" s="1"/>
      <x:c r="N450" s="1"/>
      <x:c r="O450" s="1"/>
      <x:c r="P450" s="1"/>
      <x:c r="Q450" s="1"/>
    </x:row>
    <x:row r="451">
      <x:c r="A451" s="1"/>
      <x:c r="B451" s="1"/>
      <x:c r="C451" s="1"/>
      <x:c r="D451" s="1"/>
      <x:c r="E451" s="1"/>
      <x:c r="F451" s="1"/>
      <x:c r="G451" s="1"/>
      <x:c r="H451" s="1"/>
      <x:c r="I451" s="1"/>
      <x:c r="J451" s="1"/>
      <x:c r="K451" s="1"/>
      <x:c r="L451" s="1"/>
      <x:c r="M451" s="1"/>
      <x:c r="N451" s="1"/>
      <x:c r="O451" s="1"/>
      <x:c r="P451" s="1"/>
      <x:c r="Q451" s="1"/>
    </x:row>
    <x:row r="452">
      <x:c r="A452" s="1"/>
      <x:c r="B452" s="1"/>
      <x:c r="C452" s="1"/>
      <x:c r="D452" s="1"/>
      <x:c r="E452" s="1"/>
      <x:c r="F452" s="1"/>
      <x:c r="G452" s="1"/>
      <x:c r="H452" s="1"/>
      <x:c r="I452" s="1"/>
      <x:c r="J452" s="1"/>
      <x:c r="K452" s="1"/>
      <x:c r="L452" s="1"/>
      <x:c r="M452" s="1"/>
      <x:c r="N452" s="1"/>
      <x:c r="O452" s="1"/>
      <x:c r="P452" s="1"/>
      <x:c r="Q452" s="1"/>
    </x:row>
    <x:row r="453">
      <x:c r="A453" s="1"/>
      <x:c r="B453" s="1"/>
      <x:c r="C453" s="1"/>
      <x:c r="D453" s="1"/>
      <x:c r="E453" s="1"/>
      <x:c r="F453" s="1"/>
      <x:c r="G453" s="1"/>
      <x:c r="H453" s="1"/>
      <x:c r="I453" s="1"/>
      <x:c r="J453" s="1"/>
      <x:c r="K453" s="1"/>
      <x:c r="L453" s="1"/>
      <x:c r="M453" s="1"/>
      <x:c r="N453" s="1"/>
      <x:c r="O453" s="1"/>
      <x:c r="P453" s="1"/>
      <x:c r="Q453" s="1"/>
    </x:row>
    <x:row r="454">
      <x:c r="A454" s="1"/>
      <x:c r="B454" s="1"/>
      <x:c r="C454" s="1"/>
      <x:c r="D454" s="1"/>
      <x:c r="E454" s="1"/>
      <x:c r="F454" s="1"/>
      <x:c r="G454" s="1"/>
      <x:c r="H454" s="1"/>
      <x:c r="I454" s="1"/>
      <x:c r="J454" s="1"/>
      <x:c r="K454" s="1"/>
      <x:c r="L454" s="1"/>
      <x:c r="M454" s="1"/>
      <x:c r="N454" s="1"/>
      <x:c r="O454" s="1"/>
      <x:c r="P454" s="1"/>
      <x:c r="Q454" s="1"/>
    </x:row>
    <x:row r="455">
      <x:c r="A455" s="1"/>
      <x:c r="B455" s="1"/>
      <x:c r="C455" s="1"/>
      <x:c r="D455" s="1"/>
      <x:c r="E455" s="1"/>
      <x:c r="F455" s="1"/>
      <x:c r="G455" s="1"/>
      <x:c r="H455" s="1"/>
      <x:c r="I455" s="1"/>
      <x:c r="J455" s="1"/>
      <x:c r="K455" s="1"/>
      <x:c r="L455" s="1"/>
      <x:c r="M455" s="1"/>
      <x:c r="N455" s="1"/>
      <x:c r="O455" s="1"/>
      <x:c r="P455" s="1"/>
      <x:c r="Q455" s="1"/>
    </x:row>
    <x:row r="456">
      <x:c r="A456" s="1"/>
      <x:c r="B456" s="1"/>
      <x:c r="C456" s="1"/>
      <x:c r="D456" s="1"/>
      <x:c r="E456" s="1"/>
      <x:c r="F456" s="1"/>
      <x:c r="G456" s="1"/>
      <x:c r="H456" s="1"/>
      <x:c r="I456" s="1"/>
      <x:c r="J456" s="1"/>
      <x:c r="K456" s="1"/>
      <x:c r="L456" s="1"/>
      <x:c r="M456" s="1"/>
      <x:c r="N456" s="1"/>
      <x:c r="O456" s="1"/>
      <x:c r="P456" s="1"/>
      <x:c r="Q456" s="1"/>
    </x:row>
    <x:row r="457">
      <x:c r="A457" s="1"/>
      <x:c r="B457" s="1"/>
      <x:c r="C457" s="1"/>
      <x:c r="D457" s="1"/>
      <x:c r="E457" s="1"/>
      <x:c r="F457" s="1"/>
      <x:c r="G457" s="1"/>
      <x:c r="H457" s="1"/>
      <x:c r="I457" s="1"/>
      <x:c r="J457" s="1"/>
      <x:c r="K457" s="1"/>
      <x:c r="L457" s="1"/>
      <x:c r="M457" s="1"/>
      <x:c r="N457" s="1"/>
      <x:c r="O457" s="1"/>
      <x:c r="P457" s="1"/>
      <x:c r="Q457" s="1"/>
    </x:row>
    <x:row r="458">
      <x:c r="A458" s="1"/>
      <x:c r="B458" s="1"/>
      <x:c r="C458" s="1"/>
      <x:c r="D458" s="1"/>
      <x:c r="E458" s="1"/>
      <x:c r="F458" s="1"/>
      <x:c r="G458" s="1"/>
      <x:c r="H458" s="1"/>
      <x:c r="I458" s="1"/>
      <x:c r="J458" s="1"/>
      <x:c r="K458" s="1"/>
      <x:c r="L458" s="1"/>
      <x:c r="M458" s="1"/>
      <x:c r="N458" s="1"/>
      <x:c r="O458" s="1"/>
      <x:c r="P458" s="1"/>
      <x:c r="Q458" s="1"/>
    </x:row>
    <x:row r="459">
      <x:c r="A459" s="1"/>
      <x:c r="B459" s="1"/>
      <x:c r="C459" s="1"/>
      <x:c r="D459" s="1"/>
      <x:c r="E459" s="1"/>
      <x:c r="F459" s="1"/>
      <x:c r="G459" s="1"/>
      <x:c r="H459" s="1"/>
      <x:c r="I459" s="1"/>
      <x:c r="J459" s="1"/>
      <x:c r="K459" s="1"/>
      <x:c r="L459" s="1"/>
      <x:c r="M459" s="1"/>
      <x:c r="N459" s="1"/>
      <x:c r="O459" s="1"/>
      <x:c r="P459" s="1"/>
      <x:c r="Q459" s="1"/>
    </x:row>
    <x:row r="460">
      <x:c r="A460" s="1"/>
      <x:c r="B460" s="1"/>
      <x:c r="C460" s="1"/>
      <x:c r="D460" s="1"/>
      <x:c r="E460" s="1"/>
      <x:c r="F460" s="1"/>
      <x:c r="G460" s="1"/>
      <x:c r="H460" s="1"/>
      <x:c r="I460" s="1"/>
      <x:c r="J460" s="1"/>
      <x:c r="K460" s="1"/>
      <x:c r="L460" s="1"/>
      <x:c r="M460" s="1"/>
      <x:c r="N460" s="1"/>
      <x:c r="O460" s="1"/>
      <x:c r="P460" s="1"/>
      <x:c r="Q460" s="1"/>
    </x:row>
    <x:row r="461">
      <x:c r="A461" s="1"/>
      <x:c r="B461" s="1"/>
      <x:c r="C461" s="1"/>
      <x:c r="D461" s="1"/>
      <x:c r="E461" s="1"/>
      <x:c r="F461" s="1"/>
      <x:c r="G461" s="1"/>
      <x:c r="H461" s="1"/>
      <x:c r="I461" s="1"/>
      <x:c r="J461" s="1"/>
      <x:c r="K461" s="1"/>
      <x:c r="L461" s="1"/>
      <x:c r="M461" s="1"/>
      <x:c r="N461" s="1"/>
      <x:c r="O461" s="1"/>
      <x:c r="P461" s="1"/>
      <x:c r="Q461" s="1"/>
    </x:row>
    <x:row r="462">
      <x:c r="A462" s="1"/>
      <x:c r="B462" s="1"/>
      <x:c r="C462" s="1"/>
      <x:c r="D462" s="1"/>
      <x:c r="E462" s="1"/>
      <x:c r="F462" s="1"/>
      <x:c r="G462" s="1"/>
      <x:c r="H462" s="1"/>
      <x:c r="I462" s="1"/>
      <x:c r="J462" s="1"/>
      <x:c r="K462" s="1"/>
      <x:c r="L462" s="1"/>
      <x:c r="M462" s="1"/>
      <x:c r="N462" s="1"/>
      <x:c r="O462" s="1"/>
      <x:c r="P462" s="1"/>
      <x:c r="Q462" s="1"/>
    </x:row>
    <x:row r="463">
      <x:c r="A463" s="1"/>
      <x:c r="B463" s="1"/>
      <x:c r="C463" s="1"/>
      <x:c r="D463" s="1"/>
      <x:c r="E463" s="1"/>
      <x:c r="F463" s="1"/>
      <x:c r="G463" s="1"/>
      <x:c r="H463" s="1"/>
      <x:c r="I463" s="1"/>
      <x:c r="J463" s="1"/>
      <x:c r="K463" s="1"/>
      <x:c r="L463" s="1"/>
      <x:c r="M463" s="1"/>
      <x:c r="N463" s="1"/>
      <x:c r="O463" s="1"/>
      <x:c r="P463" s="1"/>
      <x:c r="Q463" s="1"/>
    </x:row>
    <x:row r="464">
      <x:c r="A464" s="1"/>
      <x:c r="B464" s="1"/>
      <x:c r="C464" s="1"/>
      <x:c r="D464" s="1"/>
      <x:c r="E464" s="1"/>
      <x:c r="F464" s="1"/>
      <x:c r="G464" s="1"/>
      <x:c r="H464" s="1"/>
      <x:c r="I464" s="1"/>
      <x:c r="J464" s="1"/>
      <x:c r="K464" s="1"/>
      <x:c r="L464" s="1"/>
      <x:c r="M464" s="1"/>
      <x:c r="N464" s="1"/>
      <x:c r="O464" s="1"/>
      <x:c r="P464" s="1"/>
      <x:c r="Q464" s="1"/>
    </x:row>
    <x:row r="465">
      <x:c r="A465" s="1"/>
      <x:c r="B465" s="1"/>
      <x:c r="C465" s="1"/>
      <x:c r="D465" s="1"/>
      <x:c r="E465" s="1"/>
      <x:c r="F465" s="1"/>
      <x:c r="G465" s="1"/>
      <x:c r="H465" s="1"/>
      <x:c r="I465" s="1"/>
      <x:c r="J465" s="1"/>
      <x:c r="K465" s="1"/>
      <x:c r="L465" s="1"/>
      <x:c r="M465" s="1"/>
      <x:c r="N465" s="1"/>
      <x:c r="O465" s="1"/>
      <x:c r="P465" s="1"/>
      <x:c r="Q465" s="1"/>
    </x:row>
    <x:row r="466">
      <x:c r="A466" s="1"/>
      <x:c r="B466" s="1"/>
      <x:c r="C466" s="1"/>
      <x:c r="D466" s="1"/>
      <x:c r="E466" s="1"/>
      <x:c r="F466" s="1"/>
      <x:c r="G466" s="1"/>
      <x:c r="H466" s="1"/>
      <x:c r="I466" s="1"/>
      <x:c r="J466" s="1"/>
      <x:c r="K466" s="1"/>
      <x:c r="L466" s="1"/>
      <x:c r="M466" s="1"/>
      <x:c r="N466" s="1"/>
      <x:c r="O466" s="1"/>
      <x:c r="P466" s="1"/>
      <x:c r="Q466" s="1"/>
    </x:row>
    <x:row r="467">
      <x:c r="A467" s="1"/>
      <x:c r="B467" s="1"/>
      <x:c r="C467" s="1"/>
      <x:c r="D467" s="1"/>
      <x:c r="E467" s="1"/>
      <x:c r="F467" s="1"/>
      <x:c r="G467" s="1"/>
      <x:c r="H467" s="1"/>
      <x:c r="I467" s="1"/>
      <x:c r="J467" s="1"/>
      <x:c r="K467" s="1"/>
      <x:c r="L467" s="1"/>
      <x:c r="M467" s="1"/>
      <x:c r="N467" s="1"/>
      <x:c r="O467" s="1"/>
      <x:c r="P467" s="1"/>
      <x:c r="Q467" s="1"/>
    </x:row>
    <x:row r="468">
      <x:c r="A468" s="1"/>
      <x:c r="B468" s="1"/>
      <x:c r="C468" s="1"/>
      <x:c r="D468" s="1"/>
      <x:c r="E468" s="1"/>
      <x:c r="F468" s="1"/>
      <x:c r="G468" s="1"/>
      <x:c r="H468" s="1"/>
      <x:c r="I468" s="1"/>
      <x:c r="J468" s="1"/>
      <x:c r="K468" s="1"/>
      <x:c r="L468" s="1"/>
      <x:c r="M468" s="1"/>
      <x:c r="N468" s="1"/>
      <x:c r="O468" s="1"/>
      <x:c r="P468" s="1"/>
      <x:c r="Q468" s="1"/>
    </x:row>
    <x:row r="469">
      <x:c r="A469" s="1"/>
      <x:c r="B469" s="1"/>
      <x:c r="C469" s="1"/>
      <x:c r="D469" s="1"/>
      <x:c r="E469" s="1"/>
      <x:c r="F469" s="1"/>
      <x:c r="G469" s="1"/>
      <x:c r="H469" s="1"/>
      <x:c r="I469" s="1"/>
      <x:c r="J469" s="1"/>
      <x:c r="K469" s="1"/>
      <x:c r="L469" s="1"/>
      <x:c r="M469" s="1"/>
      <x:c r="N469" s="1"/>
      <x:c r="O469" s="1"/>
      <x:c r="P469" s="1"/>
      <x:c r="Q469" s="1"/>
    </x:row>
    <x:row r="470">
      <x:c r="A470" s="1"/>
      <x:c r="B470" s="1"/>
      <x:c r="C470" s="1"/>
      <x:c r="D470" s="1"/>
      <x:c r="E470" s="1"/>
      <x:c r="F470" s="1"/>
      <x:c r="G470" s="1"/>
      <x:c r="H470" s="1"/>
      <x:c r="I470" s="1"/>
      <x:c r="J470" s="1"/>
      <x:c r="K470" s="1"/>
      <x:c r="L470" s="1"/>
      <x:c r="M470" s="1"/>
      <x:c r="N470" s="1"/>
      <x:c r="O470" s="1"/>
      <x:c r="P470" s="1"/>
      <x:c r="Q470" s="1"/>
    </x:row>
    <x:row r="471">
      <x:c r="A471" s="1"/>
      <x:c r="B471" s="1"/>
      <x:c r="C471" s="1"/>
      <x:c r="D471" s="1"/>
      <x:c r="E471" s="1"/>
      <x:c r="F471" s="1"/>
      <x:c r="G471" s="1"/>
      <x:c r="H471" s="1"/>
      <x:c r="I471" s="1"/>
      <x:c r="J471" s="1"/>
      <x:c r="K471" s="1"/>
      <x:c r="L471" s="1"/>
      <x:c r="M471" s="1"/>
      <x:c r="N471" s="1"/>
      <x:c r="O471" s="1"/>
      <x:c r="P471" s="1"/>
      <x:c r="Q471" s="1"/>
    </x:row>
    <x:row r="472">
      <x:c r="A472" s="1"/>
      <x:c r="B472" s="1"/>
      <x:c r="C472" s="1"/>
      <x:c r="D472" s="1"/>
      <x:c r="E472" s="1"/>
      <x:c r="F472" s="1"/>
      <x:c r="G472" s="1"/>
      <x:c r="H472" s="1"/>
      <x:c r="I472" s="1"/>
      <x:c r="J472" s="1"/>
      <x:c r="K472" s="1"/>
      <x:c r="L472" s="1"/>
      <x:c r="M472" s="1"/>
      <x:c r="N472" s="1"/>
      <x:c r="O472" s="1"/>
      <x:c r="P472" s="1"/>
      <x:c r="Q472" s="1"/>
    </x:row>
    <x:row r="473">
      <x:c r="A473" s="1"/>
      <x:c r="B473" s="1"/>
      <x:c r="C473" s="1"/>
      <x:c r="D473" s="1"/>
      <x:c r="E473" s="1"/>
      <x:c r="F473" s="1"/>
      <x:c r="G473" s="1"/>
      <x:c r="H473" s="1"/>
      <x:c r="I473" s="1"/>
      <x:c r="J473" s="1"/>
      <x:c r="K473" s="1"/>
      <x:c r="L473" s="1"/>
      <x:c r="M473" s="1"/>
      <x:c r="N473" s="1"/>
      <x:c r="O473" s="1"/>
      <x:c r="P473" s="1"/>
      <x:c r="Q473" s="1"/>
    </x:row>
    <x:row r="474">
      <x:c r="A474" s="1"/>
      <x:c r="B474" s="1"/>
      <x:c r="C474" s="1"/>
      <x:c r="D474" s="1"/>
      <x:c r="E474" s="1"/>
      <x:c r="F474" s="1"/>
      <x:c r="G474" s="1"/>
      <x:c r="H474" s="1"/>
      <x:c r="I474" s="1"/>
      <x:c r="J474" s="1"/>
      <x:c r="K474" s="1"/>
      <x:c r="L474" s="1"/>
      <x:c r="M474" s="1"/>
      <x:c r="N474" s="1"/>
      <x:c r="O474" s="1"/>
      <x:c r="P474" s="1"/>
      <x:c r="Q474" s="1"/>
    </x:row>
    <x:row r="475">
      <x:c r="A475" s="1"/>
      <x:c r="B475" s="1"/>
      <x:c r="C475" s="1"/>
      <x:c r="D475" s="1"/>
      <x:c r="E475" s="1"/>
      <x:c r="F475" s="1"/>
      <x:c r="G475" s="1"/>
      <x:c r="H475" s="1"/>
      <x:c r="I475" s="1"/>
      <x:c r="J475" s="1"/>
      <x:c r="K475" s="1"/>
      <x:c r="L475" s="1"/>
      <x:c r="M475" s="1"/>
      <x:c r="N475" s="1"/>
      <x:c r="O475" s="1"/>
      <x:c r="P475" s="1"/>
      <x:c r="Q475" s="1"/>
    </x:row>
    <x:row r="476">
      <x:c r="A476" s="1"/>
      <x:c r="B476" s="1"/>
      <x:c r="C476" s="1"/>
      <x:c r="D476" s="1"/>
      <x:c r="E476" s="1"/>
      <x:c r="F476" s="1"/>
      <x:c r="G476" s="1"/>
      <x:c r="H476" s="1"/>
      <x:c r="I476" s="1"/>
      <x:c r="J476" s="1"/>
      <x:c r="K476" s="1"/>
      <x:c r="L476" s="1"/>
      <x:c r="M476" s="1"/>
      <x:c r="N476" s="1"/>
      <x:c r="O476" s="1"/>
      <x:c r="P476" s="1"/>
      <x:c r="Q476" s="1"/>
    </x:row>
    <x:row r="477">
      <x:c r="A477" s="1"/>
      <x:c r="B477" s="1"/>
      <x:c r="C477" s="1"/>
      <x:c r="D477" s="1"/>
      <x:c r="E477" s="1"/>
      <x:c r="F477" s="1"/>
      <x:c r="G477" s="1"/>
      <x:c r="H477" s="1"/>
      <x:c r="I477" s="1"/>
      <x:c r="J477" s="1"/>
      <x:c r="K477" s="1"/>
      <x:c r="L477" s="1"/>
      <x:c r="M477" s="1"/>
      <x:c r="N477" s="1"/>
      <x:c r="O477" s="1"/>
      <x:c r="P477" s="1"/>
      <x:c r="Q477" s="1"/>
    </x:row>
    <x:row r="478">
      <x:c r="A478" s="1"/>
      <x:c r="B478" s="1"/>
      <x:c r="C478" s="1"/>
      <x:c r="D478" s="1"/>
      <x:c r="E478" s="1"/>
      <x:c r="F478" s="1"/>
      <x:c r="G478" s="1"/>
      <x:c r="H478" s="1"/>
      <x:c r="I478" s="1"/>
      <x:c r="J478" s="1"/>
      <x:c r="K478" s="1"/>
      <x:c r="L478" s="1"/>
      <x:c r="M478" s="1"/>
      <x:c r="N478" s="1"/>
      <x:c r="O478" s="1"/>
      <x:c r="P478" s="1"/>
      <x:c r="Q478" s="1"/>
    </x:row>
    <x:row r="479">
      <x:c r="A479" s="1"/>
      <x:c r="B479" s="1"/>
      <x:c r="C479" s="1"/>
      <x:c r="D479" s="1"/>
      <x:c r="E479" s="1"/>
      <x:c r="F479" s="1"/>
      <x:c r="G479" s="1"/>
      <x:c r="H479" s="1"/>
      <x:c r="I479" s="1"/>
      <x:c r="J479" s="1"/>
      <x:c r="K479" s="1"/>
      <x:c r="L479" s="1"/>
      <x:c r="M479" s="1"/>
      <x:c r="N479" s="1"/>
      <x:c r="O479" s="1"/>
      <x:c r="P479" s="1"/>
      <x:c r="Q479" s="1"/>
    </x:row>
    <x:row r="480">
      <x:c r="A480" s="1"/>
      <x:c r="B480" s="1"/>
      <x:c r="C480" s="1"/>
      <x:c r="D480" s="1"/>
      <x:c r="E480" s="1"/>
      <x:c r="F480" s="1"/>
      <x:c r="G480" s="1"/>
      <x:c r="H480" s="1"/>
      <x:c r="I480" s="1"/>
      <x:c r="J480" s="1"/>
      <x:c r="K480" s="1"/>
      <x:c r="L480" s="1"/>
      <x:c r="M480" s="1"/>
      <x:c r="N480" s="1"/>
      <x:c r="O480" s="1"/>
      <x:c r="P480" s="1"/>
      <x:c r="Q480" s="1"/>
    </x:row>
    <x:row r="481">
      <x:c r="A481" s="1"/>
      <x:c r="B481" s="1"/>
      <x:c r="C481" s="1"/>
      <x:c r="D481" s="1"/>
      <x:c r="E481" s="1"/>
      <x:c r="F481" s="1"/>
      <x:c r="G481" s="1"/>
      <x:c r="H481" s="1"/>
      <x:c r="I481" s="1"/>
      <x:c r="J481" s="1"/>
      <x:c r="K481" s="1"/>
      <x:c r="L481" s="1"/>
      <x:c r="M481" s="1"/>
      <x:c r="N481" s="1"/>
      <x:c r="O481" s="1"/>
      <x:c r="P481" s="1"/>
      <x:c r="Q481" s="1"/>
    </x:row>
    <x:row r="482">
      <x:c r="A482" s="1"/>
      <x:c r="B482" s="1"/>
      <x:c r="C482" s="1"/>
      <x:c r="D482" s="1"/>
      <x:c r="E482" s="1"/>
      <x:c r="F482" s="1"/>
      <x:c r="G482" s="1"/>
      <x:c r="H482" s="1"/>
      <x:c r="I482" s="1"/>
      <x:c r="J482" s="1"/>
      <x:c r="K482" s="1"/>
      <x:c r="L482" s="1"/>
      <x:c r="M482" s="1"/>
      <x:c r="N482" s="1"/>
      <x:c r="O482" s="1"/>
      <x:c r="P482" s="1"/>
      <x:c r="Q482" s="1"/>
    </x:row>
    <x:row r="483">
      <x:c r="A483" s="1"/>
      <x:c r="B483" s="1"/>
      <x:c r="C483" s="1"/>
      <x:c r="D483" s="1"/>
      <x:c r="E483" s="1"/>
      <x:c r="F483" s="1"/>
      <x:c r="G483" s="1"/>
      <x:c r="H483" s="1"/>
      <x:c r="I483" s="1"/>
      <x:c r="J483" s="1"/>
      <x:c r="K483" s="1"/>
      <x:c r="L483" s="1"/>
      <x:c r="M483" s="1"/>
      <x:c r="N483" s="1"/>
      <x:c r="O483" s="1"/>
      <x:c r="P483" s="1"/>
      <x:c r="Q483" s="1"/>
    </x:row>
    <x:row r="484">
      <x:c r="A484" s="1"/>
      <x:c r="B484" s="1"/>
      <x:c r="C484" s="1"/>
      <x:c r="D484" s="1"/>
      <x:c r="E484" s="1"/>
      <x:c r="F484" s="1"/>
      <x:c r="G484" s="1"/>
      <x:c r="H484" s="1"/>
      <x:c r="I484" s="1"/>
      <x:c r="J484" s="1"/>
      <x:c r="K484" s="1"/>
      <x:c r="L484" s="1"/>
      <x:c r="M484" s="1"/>
      <x:c r="N484" s="1"/>
      <x:c r="O484" s="1"/>
      <x:c r="P484" s="1"/>
      <x:c r="Q484" s="1"/>
    </x:row>
    <x:row r="485">
      <x:c r="A485" s="1"/>
      <x:c r="B485" s="1"/>
      <x:c r="C485" s="1"/>
      <x:c r="D485" s="1"/>
      <x:c r="E485" s="1"/>
      <x:c r="F485" s="1"/>
      <x:c r="G485" s="1"/>
      <x:c r="H485" s="1"/>
      <x:c r="I485" s="1"/>
      <x:c r="J485" s="1"/>
      <x:c r="K485" s="1"/>
      <x:c r="L485" s="1"/>
      <x:c r="M485" s="1"/>
      <x:c r="N485" s="1"/>
      <x:c r="O485" s="1"/>
      <x:c r="P485" s="1"/>
      <x:c r="Q485" s="1"/>
    </x:row>
    <x:row r="486">
      <x:c r="A486" s="1"/>
      <x:c r="B486" s="1"/>
      <x:c r="C486" s="1"/>
      <x:c r="D486" s="1"/>
      <x:c r="E486" s="1"/>
      <x:c r="F486" s="1"/>
      <x:c r="G486" s="1"/>
      <x:c r="H486" s="1"/>
      <x:c r="I486" s="1"/>
      <x:c r="J486" s="1"/>
      <x:c r="K486" s="1"/>
      <x:c r="L486" s="1"/>
      <x:c r="M486" s="1"/>
      <x:c r="N486" s="1"/>
      <x:c r="O486" s="1"/>
      <x:c r="P486" s="1"/>
      <x:c r="Q486" s="1"/>
    </x:row>
    <x:row r="487">
      <x:c r="A487" s="1"/>
      <x:c r="B487" s="1"/>
      <x:c r="C487" s="1"/>
      <x:c r="D487" s="1"/>
      <x:c r="E487" s="1"/>
      <x:c r="F487" s="1"/>
      <x:c r="G487" s="1"/>
      <x:c r="H487" s="1"/>
      <x:c r="I487" s="1"/>
      <x:c r="J487" s="1"/>
      <x:c r="K487" s="1"/>
      <x:c r="L487" s="1"/>
      <x:c r="M487" s="1"/>
      <x:c r="N487" s="1"/>
      <x:c r="O487" s="1"/>
      <x:c r="P487" s="1"/>
      <x:c r="Q487" s="1"/>
    </x:row>
    <x:row r="488">
      <x:c r="A488" s="1"/>
      <x:c r="B488" s="1"/>
      <x:c r="C488" s="1"/>
      <x:c r="D488" s="1"/>
      <x:c r="E488" s="1"/>
      <x:c r="F488" s="1"/>
      <x:c r="G488" s="1"/>
      <x:c r="H488" s="1"/>
      <x:c r="I488" s="1"/>
      <x:c r="J488" s="1"/>
      <x:c r="K488" s="1"/>
      <x:c r="L488" s="1"/>
      <x:c r="M488" s="1"/>
      <x:c r="N488" s="1"/>
      <x:c r="O488" s="1"/>
      <x:c r="P488" s="1"/>
      <x:c r="Q488" s="1"/>
    </x:row>
    <x:row r="489">
      <x:c r="A489" s="1"/>
      <x:c r="B489" s="1"/>
      <x:c r="C489" s="1"/>
      <x:c r="D489" s="1"/>
      <x:c r="E489" s="1"/>
      <x:c r="F489" s="1"/>
      <x:c r="G489" s="1"/>
      <x:c r="H489" s="1"/>
      <x:c r="I489" s="1"/>
      <x:c r="J489" s="1"/>
      <x:c r="K489" s="1"/>
      <x:c r="L489" s="1"/>
      <x:c r="M489" s="1"/>
      <x:c r="N489" s="1"/>
      <x:c r="O489" s="1"/>
      <x:c r="P489" s="1"/>
      <x:c r="Q489" s="1"/>
    </x:row>
    <x:row r="490">
      <x:c r="A490" s="1"/>
      <x:c r="B490" s="1"/>
      <x:c r="C490" s="1"/>
      <x:c r="D490" s="1"/>
      <x:c r="E490" s="1"/>
      <x:c r="F490" s="1"/>
      <x:c r="G490" s="1"/>
      <x:c r="H490" s="1"/>
      <x:c r="I490" s="1"/>
      <x:c r="J490" s="1"/>
      <x:c r="K490" s="1"/>
      <x:c r="L490" s="1"/>
      <x:c r="M490" s="1"/>
      <x:c r="N490" s="1"/>
      <x:c r="O490" s="1"/>
      <x:c r="P490" s="1"/>
      <x:c r="Q490" s="1"/>
    </x:row>
    <x:row r="491">
      <x:c r="A491" s="1"/>
      <x:c r="B491" s="1"/>
      <x:c r="C491" s="1"/>
      <x:c r="D491" s="1"/>
      <x:c r="E491" s="1"/>
      <x:c r="F491" s="1"/>
      <x:c r="G491" s="1"/>
      <x:c r="H491" s="1"/>
      <x:c r="I491" s="1"/>
      <x:c r="J491" s="1"/>
      <x:c r="K491" s="1"/>
      <x:c r="L491" s="1"/>
      <x:c r="M491" s="1"/>
      <x:c r="N491" s="1"/>
      <x:c r="O491" s="1"/>
      <x:c r="P491" s="1"/>
      <x:c r="Q491" s="1"/>
    </x:row>
    <x:row r="492">
      <x:c r="A492" s="1"/>
      <x:c r="B492" s="1"/>
      <x:c r="C492" s="1"/>
      <x:c r="D492" s="1"/>
      <x:c r="E492" s="1"/>
      <x:c r="F492" s="1"/>
      <x:c r="G492" s="1"/>
      <x:c r="H492" s="1"/>
      <x:c r="I492" s="1"/>
      <x:c r="J492" s="1"/>
      <x:c r="K492" s="1"/>
      <x:c r="L492" s="1"/>
      <x:c r="M492" s="1"/>
      <x:c r="N492" s="1"/>
      <x:c r="O492" s="1"/>
      <x:c r="P492" s="1"/>
      <x:c r="Q492" s="1"/>
    </x:row>
    <x:row r="493">
      <x:c r="A493" s="1"/>
      <x:c r="B493" s="1"/>
      <x:c r="C493" s="1"/>
      <x:c r="D493" s="1"/>
      <x:c r="E493" s="1"/>
      <x:c r="F493" s="1"/>
      <x:c r="G493" s="1"/>
      <x:c r="H493" s="1"/>
      <x:c r="I493" s="1"/>
      <x:c r="J493" s="1"/>
      <x:c r="K493" s="1"/>
      <x:c r="L493" s="1"/>
      <x:c r="M493" s="1"/>
      <x:c r="N493" s="1"/>
      <x:c r="O493" s="1"/>
      <x:c r="P493" s="1"/>
      <x:c r="Q493" s="1"/>
    </x:row>
    <x:row r="494">
      <x:c r="A494" s="1"/>
      <x:c r="B494" s="1"/>
      <x:c r="C494" s="1"/>
      <x:c r="D494" s="1"/>
      <x:c r="E494" s="1"/>
      <x:c r="F494" s="1"/>
      <x:c r="G494" s="1"/>
      <x:c r="H494" s="1"/>
      <x:c r="I494" s="1"/>
      <x:c r="J494" s="1"/>
      <x:c r="K494" s="1"/>
      <x:c r="L494" s="1"/>
      <x:c r="M494" s="1"/>
      <x:c r="N494" s="1"/>
      <x:c r="O494" s="1"/>
      <x:c r="P494" s="1"/>
      <x:c r="Q494" s="1"/>
    </x:row>
    <x:row r="495">
      <x:c r="A495" s="1"/>
      <x:c r="B495" s="1"/>
      <x:c r="C495" s="1"/>
      <x:c r="D495" s="1"/>
      <x:c r="E495" s="1"/>
      <x:c r="F495" s="1"/>
      <x:c r="G495" s="1"/>
      <x:c r="H495" s="1"/>
      <x:c r="I495" s="1"/>
      <x:c r="J495" s="1"/>
      <x:c r="K495" s="1"/>
      <x:c r="L495" s="1"/>
      <x:c r="M495" s="1"/>
      <x:c r="N495" s="1"/>
      <x:c r="O495" s="1"/>
      <x:c r="P495" s="1"/>
      <x:c r="Q495" s="1"/>
    </x:row>
    <x:row r="496">
      <x:c r="A496" s="1"/>
      <x:c r="B496" s="1"/>
      <x:c r="C496" s="1"/>
      <x:c r="D496" s="1"/>
      <x:c r="E496" s="1"/>
      <x:c r="F496" s="1"/>
      <x:c r="G496" s="1"/>
      <x:c r="H496" s="1"/>
      <x:c r="I496" s="1"/>
      <x:c r="J496" s="1"/>
      <x:c r="K496" s="1"/>
      <x:c r="L496" s="1"/>
      <x:c r="M496" s="1"/>
      <x:c r="N496" s="1"/>
      <x:c r="O496" s="1"/>
      <x:c r="P496" s="1"/>
      <x:c r="Q496" s="1"/>
    </x:row>
    <x:row r="497">
      <x:c r="A497" s="1"/>
      <x:c r="B497" s="1"/>
      <x:c r="C497" s="1"/>
      <x:c r="D497" s="1"/>
      <x:c r="E497" s="1"/>
      <x:c r="F497" s="1"/>
      <x:c r="G497" s="1"/>
      <x:c r="H497" s="1"/>
      <x:c r="I497" s="1"/>
      <x:c r="J497" s="1"/>
      <x:c r="K497" s="1"/>
      <x:c r="L497" s="1"/>
      <x:c r="M497" s="1"/>
      <x:c r="N497" s="1"/>
      <x:c r="O497" s="1"/>
      <x:c r="P497" s="1"/>
      <x:c r="Q497" s="1"/>
    </x:row>
    <x:row r="498">
      <x:c r="A498" s="1"/>
      <x:c r="B498" s="1"/>
      <x:c r="C498" s="1"/>
      <x:c r="D498" s="1"/>
      <x:c r="E498" s="1"/>
      <x:c r="F498" s="1"/>
      <x:c r="G498" s="1"/>
      <x:c r="H498" s="1"/>
      <x:c r="I498" s="1"/>
      <x:c r="J498" s="1"/>
      <x:c r="K498" s="1"/>
      <x:c r="L498" s="1"/>
      <x:c r="M498" s="1"/>
      <x:c r="N498" s="1"/>
      <x:c r="O498" s="1"/>
      <x:c r="P498" s="1"/>
      <x:c r="Q498" s="1"/>
    </x:row>
    <x:row r="499">
      <x:c r="A499" s="1"/>
      <x:c r="B499" s="1"/>
      <x:c r="C499" s="1"/>
      <x:c r="D499" s="1"/>
      <x:c r="E499" s="1"/>
      <x:c r="F499" s="1"/>
      <x:c r="G499" s="1"/>
      <x:c r="H499" s="1"/>
      <x:c r="I499" s="1"/>
      <x:c r="J499" s="1"/>
      <x:c r="K499" s="1"/>
      <x:c r="L499" s="1"/>
      <x:c r="M499" s="1"/>
      <x:c r="N499" s="1"/>
      <x:c r="O499" s="1"/>
      <x:c r="P499" s="1"/>
      <x:c r="Q499" s="1"/>
    </x:row>
    <x:row r="500">
      <x:c r="A500" s="1"/>
      <x:c r="B500" s="1"/>
      <x:c r="C500" s="1"/>
      <x:c r="D500" s="1"/>
      <x:c r="E500" s="1"/>
      <x:c r="F500" s="1"/>
      <x:c r="G500" s="1"/>
      <x:c r="H500" s="1"/>
      <x:c r="I500" s="1"/>
      <x:c r="J500" s="1"/>
      <x:c r="K500" s="1"/>
      <x:c r="L500" s="1"/>
      <x:c r="M500" s="1"/>
      <x:c r="N500" s="1"/>
      <x:c r="O500" s="1"/>
      <x:c r="P500" s="1"/>
      <x:c r="Q500" s="1"/>
    </x:row>
  </x:sheetData>
  <x:mergeCells>
    <x:mergeCell ref="A1:F1"/>
    <x:mergeCell ref="A2:F2"/>
  </x:mergeCells>
  <x:pageMargins left="0.7" right="0.7" top="0.75" bottom="0.75" header="0.3" footer="0.3"/>
</x:worksheet>
</file>