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_miguel\Documents\Codex\2026-08-19\mira-te-comento-estoy-buscando-una\outputs\inventory-update-2026-10-31\"/>
    </mc:Choice>
  </mc:AlternateContent>
  <xr:revisionPtr revIDLastSave="0" documentId="13_ncr:1_{F688E46B-D13C-4792-972C-20A88E0896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Fuentes" sheetId="2" r:id="rId2"/>
    <sheet name="Criterios" sheetId="3" r:id="rId3"/>
  </sheets>
  <definedNames>
    <definedName name="_xlnm.Print_Area" localSheetId="0">Resumen!$A$1:$H$33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G15" i="1"/>
  <c r="D15" i="1"/>
  <c r="C15" i="1"/>
  <c r="B15" i="1"/>
  <c r="G14" i="1"/>
  <c r="D14" i="1"/>
  <c r="C14" i="1"/>
  <c r="B14" i="1"/>
  <c r="G13" i="1"/>
  <c r="D13" i="1"/>
  <c r="C13" i="1"/>
  <c r="B13" i="1"/>
  <c r="G12" i="1"/>
  <c r="D12" i="1"/>
  <c r="C12" i="1"/>
  <c r="B12" i="1"/>
  <c r="E9" i="1"/>
  <c r="B9" i="1"/>
  <c r="B8" i="1"/>
  <c r="E7" i="1"/>
  <c r="B7" i="1"/>
  <c r="G6" i="1"/>
  <c r="E6" i="1"/>
  <c r="B6" i="1"/>
  <c r="G5" i="1"/>
  <c r="G7" i="1" s="1"/>
  <c r="E5" i="1"/>
  <c r="B5" i="1"/>
  <c r="E8" i="1" l="1"/>
  <c r="G9" i="1"/>
  <c r="G8" i="1" s="1"/>
</calcChain>
</file>

<file path=xl/sharedStrings.xml><?xml version="1.0" encoding="utf-8"?>
<sst xmlns="http://schemas.openxmlformats.org/spreadsheetml/2006/main" count="7885" uniqueCount="2197">
  <si>
    <t>Inventario de fuentes de eventos culturales de Chile</t>
  </si>
  <si>
    <t>Inventario y estado de integración revisados al 31 de octubre de 2026. Las auditorías técnicas conservan su fecha original.</t>
  </si>
  <si>
    <t>Indicador</t>
  </si>
  <si>
    <t>Valor</t>
  </si>
  <si>
    <t>Integración actual</t>
  </si>
  <si>
    <t>Registros del inventario</t>
  </si>
  <si>
    <t>Revisión manual</t>
  </si>
  <si>
    <t>Configuradas y habilitadas</t>
  </si>
  <si>
    <t>Fuentes digitales elegibles</t>
  </si>
  <si>
    <t>No aprobadas</t>
  </si>
  <si>
    <t>Con aporte publicado</t>
  </si>
  <si>
    <t>Con aprobación técnica registrada</t>
  </si>
  <si>
    <t>Referencias sin agenda</t>
  </si>
  <si>
    <t>Integradas / digitales elegibles</t>
  </si>
  <si>
    <t>Aprobación técnica registrada (%)</t>
  </si>
  <si>
    <t>Regiones representadas</t>
  </si>
  <si>
    <t>Con aporte / habilitadas del mes</t>
  </si>
  <si>
    <t>Publicados en Supabase al corte</t>
  </si>
  <si>
    <t>Estacionales fuera de mes</t>
  </si>
  <si>
    <t>Habilitadas en el mes del corte</t>
  </si>
  <si>
    <t>Región / alcance</t>
  </si>
  <si>
    <t>Total</t>
  </si>
  <si>
    <t>Digital elegible</t>
  </si>
  <si>
    <t>Aprobada técnicamente</t>
  </si>
  <si>
    <t>Decisión de validación</t>
  </si>
  <si>
    <t>Cantidad</t>
  </si>
  <si>
    <t>Todas</t>
  </si>
  <si>
    <t>Varias</t>
  </si>
  <si>
    <t>Región de Arica y Parinacota</t>
  </si>
  <si>
    <t>No aprobada</t>
  </si>
  <si>
    <t>Región de Tarapacá</t>
  </si>
  <si>
    <t>Referencia sin agenda</t>
  </si>
  <si>
    <t>Región de Antofagasta</t>
  </si>
  <si>
    <t>Región de Atacama</t>
  </si>
  <si>
    <t>Región de Coquimbo</t>
  </si>
  <si>
    <t>Cómo interpretar la decisión</t>
  </si>
  <si>
    <t>Región de Valparaíso</t>
  </si>
  <si>
    <t>La aprobación técnica no es una licencia legal. Las integraciones actuales se cuentan por configuración habilitada; el aporte se comprueba con registros publicados no suprimidos. Una fuente sin aporte no se considera fallida sin revisar su ejecución.</t>
  </si>
  <si>
    <t>Aprobada técnicamente significa que la fuente cumple las reglas automáticas de acceso, relevancia cultural, cobertura chilena y señales de agenda. No equivale a una licencia legal de reutilización. Antes de integrarla de forma permanente deben revisarse sus términos de uso. Revisión manual agrupa páginas dinámicas, bloqueadas o con evidencia insuficiente.</t>
  </si>
  <si>
    <t>Región Metropolitana de Santiago</t>
  </si>
  <si>
    <t>Región del Libertador General Bernardo O'Higgins</t>
  </si>
  <si>
    <t>Región del Maule</t>
  </si>
  <si>
    <t>Región de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</si>
  <si>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</si>
  <si>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</si>
  <si>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</si>
  <si>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</si>
  <si>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</si>
  <si>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</si>
  <si>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Eventos de última ingesta</t>
  </si>
  <si>
    <t>Fecha de última ingesta (Chile)</t>
  </si>
  <si>
    <t>Los publicados al corte no equivalen necesariamente a eventos vigentes hoy. La ingesta y el catálogo son conteos distintos. Puntajes técnicos históricos: consultar fecha de auditoría.</t>
  </si>
  <si>
    <t>ID</t>
  </si>
  <si>
    <t>Fuente</t>
  </si>
  <si>
    <t>Institución responsable</t>
  </si>
  <si>
    <t>Tipo de fuente</t>
  </si>
  <si>
    <t>Cobertura</t>
  </si>
  <si>
    <t>Región</t>
  </si>
  <si>
    <t>Comuna</t>
  </si>
  <si>
    <t>Áreas culturales</t>
  </si>
  <si>
    <t>Canal de publicación</t>
  </si>
  <si>
    <t>URL de eventos</t>
  </si>
  <si>
    <t>URL de respaldo / evidencia</t>
  </si>
  <si>
    <t>Estado de integración</t>
  </si>
  <si>
    <t>Elegible para porcentaje</t>
  </si>
  <si>
    <t>Prioridad</t>
  </si>
  <si>
    <t>Método potencial</t>
  </si>
  <si>
    <t>Verificada el</t>
  </si>
  <si>
    <t>Observaciones</t>
  </si>
  <si>
    <t>Decisión para integración</t>
  </si>
  <si>
    <t>Puntaje técnico</t>
  </si>
  <si>
    <t>Confianza</t>
  </si>
  <si>
    <t>Estado HTTP</t>
  </si>
  <si>
    <t>robots.txt</t>
  </si>
  <si>
    <t>URL final validada</t>
  </si>
  <si>
    <t>Auditada el</t>
  </si>
  <si>
    <t>Motivo principal</t>
  </si>
  <si>
    <t>Publicados al corte</t>
  </si>
  <si>
    <t>Estado operativo al corte</t>
  </si>
  <si>
    <t>Evidencia de integración</t>
  </si>
  <si>
    <t>CL-FUE-0001</t>
  </si>
  <si>
    <t>Agenda Universidad de Talca</t>
  </si>
  <si>
    <t>Universidad de Talca</t>
  </si>
  <si>
    <t>Fuente configurada en el prototipo</t>
  </si>
  <si>
    <t>Según fuente</t>
  </si>
  <si>
    <t>Talca</t>
  </si>
  <si>
    <t>Cultura</t>
  </si>
  <si>
    <t>Conector del prototipo</t>
  </si>
  <si>
    <t>https://agenda.utalca.cl/</t>
  </si>
  <si>
    <t>Integrada configurada</t>
  </si>
  <si>
    <t>Sí</t>
  </si>
  <si>
    <t>Alta</t>
  </si>
  <si>
    <t>html_cards</t>
  </si>
  <si>
    <t>Revisión de integración 31-10-2026: configuración habilitada; 8 registros publicados no suprimidos en Supabase. Con aporte publicado. Los puntajes y la auditoría técnica anteriores no se recalcularon. Antecedente: Ejecución reciente: conector funcional.</t>
  </si>
  <si>
    <t>alta</t>
  </si>
  <si>
    <t>Permite</t>
  </si>
  <si>
    <t>Operativa: agenda accesible y con señales de eventos.</t>
  </si>
  <si>
    <t>https://github.com/sunsitox/sunsitox-Scraper_de_eventos_culturales/actions/runs/41029844675</t>
  </si>
  <si>
    <t>CL-FUE-0002</t>
  </si>
  <si>
    <t>Centro Cultural La Moneda</t>
  </si>
  <si>
    <t>Santiago</t>
  </si>
  <si>
    <t>https://www.cclm.cl/actividades-y-talleres/</t>
  </si>
  <si>
    <t>Revisión de integración 31-10-2026: configuración habilitada; 4 registros publicados no suprimidos en Supabase. Con aporte publicado. Los puntajes y la auditoría técnica anteriores no se recalcularon. Antecedente: Ejecución reciente: conector funcional.</t>
  </si>
  <si>
    <t>CL-FUE-0003</t>
  </si>
  <si>
    <t>Chile Cultura</t>
  </si>
  <si>
    <t>Nacional</t>
  </si>
  <si>
    <t>Multidisciplinario</t>
  </si>
  <si>
    <t>https://chilecultura.gob.cl/</t>
  </si>
  <si>
    <t>chilecultura_api</t>
  </si>
  <si>
    <t>Revisión de integración 31-10-2026: configuración habilitada; 289 registros publicados no suprimidos en Supabase. Con aporte publicado. Los puntajes y la auditoría técnica anteriores no se recalcularon. Antecedente: Ejecución reciente: API nacional funcional.</t>
  </si>
  <si>
    <t>Sin dato</t>
  </si>
  <si>
    <t>Operativa: API nacional con cobertura regional.</t>
  </si>
  <si>
    <t>CL-FUE-0004</t>
  </si>
  <si>
    <t>Espacio Cultural Viña del Mar</t>
  </si>
  <si>
    <t>Corporación Cultural de Viña del Mar</t>
  </si>
  <si>
    <t>Viña del Mar</t>
  </si>
  <si>
    <t>https://www.culturaviva.cl/actividades/</t>
  </si>
  <si>
    <t>tribe_events_api</t>
  </si>
  <si>
    <t>Revisión de integración 31-10-2026: configuración habilitada; 0 registros publicados no suprimidos en Supabase. Sin aporte publicado. Los puntajes y la auditoría técnica anteriores no se recalcularon. Antecedente: API operativa; al corte no publica eventos futuros.</t>
  </si>
  <si>
    <t>La fuente no falló: no tenía eventos vigentes en la respuesta de la API.</t>
  </si>
  <si>
    <t>Sin aporte publicado</t>
  </si>
  <si>
    <t>https://github.com/sunsitox/sunsitox-Scraper_de_eventos_culturales/blob/main/docs/SOURCES.md</t>
  </si>
  <si>
    <t>CL-FUE-0005</t>
  </si>
  <si>
    <t>Enoturismo Chile · Agenda</t>
  </si>
  <si>
    <t>Enoturismo Chile</t>
  </si>
  <si>
    <t>Vino; Enoturismo</t>
  </si>
  <si>
    <t>https://www.enoturismochile.cl/agenda/</t>
  </si>
  <si>
    <t>eventon_wordpress</t>
  </si>
  <si>
    <t>Revisión de integración 31-10-2026: configuración habilitada; 10 registros publicados no suprimidos en Supabase. Con aporte publicado. Los puntajes y la auditoría técnica anteriores no se recalcularon. Antecedente: Conector funcional; se mantiene revisión por la evidencia pública de la agenda.</t>
  </si>
  <si>
    <t>Operativa; requiere revisión de términos y calidad de agenda antes de ampliar alcance.</t>
  </si>
  <si>
    <t>CL-FUE-0006</t>
  </si>
  <si>
    <t>Espacio Riesco · Calendario</t>
  </si>
  <si>
    <t>Espacio Riesco</t>
  </si>
  <si>
    <t>Huechuraba</t>
  </si>
  <si>
    <t>Evento</t>
  </si>
  <si>
    <t>https://www.espacioriesco.cl/calendario/</t>
  </si>
  <si>
    <t>Revisión de integración 31-10-2026: configuración habilitada; 0 registros publicados no suprimidos en Supabase. Sin aporte publicado. Los puntajes y la auditoría técnica anteriores no se recalcularon. Antecedente: Conector funcional; se mantiene revisión por naturaleza generalista de la agenda.</t>
  </si>
  <si>
    <t>Operativa; se filtra por evento según criterio cultural global.</t>
  </si>
  <si>
    <t>CL-FUE-0007</t>
  </si>
  <si>
    <t>FISA · Ferias y Exposiciones</t>
  </si>
  <si>
    <t>FISA · GL events Chile</t>
  </si>
  <si>
    <t>Exposición; Feria; Negocios</t>
  </si>
  <si>
    <t>https://www.fisa.cl/nuestras-ferias/</t>
  </si>
  <si>
    <t>fisa_portfolio</t>
  </si>
  <si>
    <t>Revisión de integración 31-10-2026: configuración habilitada; 0 registros publicados no suprimidos en Supabase. Sin aporte publicado. Los puntajes y la auditoría técnica anteriores no se recalcularon. Antecedente: Conector funcional; se mantiene filtro cultural por evento.</t>
  </si>
  <si>
    <t>Operativa; incluye solo ferias o exposiciones con componente cultural sustantivo.</t>
  </si>
  <si>
    <t>CL-FUE-0008</t>
  </si>
  <si>
    <t>Centro Cultural GAM</t>
  </si>
  <si>
    <t>Centro Cultural Gabriela Mistral</t>
  </si>
  <si>
    <t>https://gam.cl/es/calendario/</t>
  </si>
  <si>
    <t>generic</t>
  </si>
  <si>
    <t>Revisión de integración 31-10-2026: configuración habilitada; 36 registros publicados no suprimidos en Supabase. Con aporte publicado. Los puntajes y la auditoría técnica anteriores no se recalcularon. Antecedente: Ejecución reciente: conector funcional.</t>
  </si>
  <si>
    <t>CL-FUE-0009</t>
  </si>
  <si>
    <t>Maipú en Común</t>
  </si>
  <si>
    <t>Municipalidad de Maipú</t>
  </si>
  <si>
    <t>Maipú</t>
  </si>
  <si>
    <t>https://www.maipuencomun.cl/</t>
  </si>
  <si>
    <t>maipu_browser</t>
  </si>
  <si>
    <t>Revisión de integración 31-10-2026: configuración habilitada; 66 registros publicados no suprimidos en Supabase. Con aporte publicado. Los puntajes y la auditoría técnica anteriores no se recalcularon. Antecedente: Conector de navegador funcional; requiere Playwright instalado.</t>
  </si>
  <si>
    <t>Operativa; depende del backend municipal y de Playwright.</t>
  </si>
  <si>
    <t>CL-FUE-0010</t>
  </si>
  <si>
    <t>Rancagua Cultura</t>
  </si>
  <si>
    <t>Corporación de la Cultura y las Artes de Rancagua</t>
  </si>
  <si>
    <t>Región del Libertador Bernardo O'Higgins</t>
  </si>
  <si>
    <t>Rancagua</t>
  </si>
  <si>
    <t>https://rancaguacultura.cl/event-directory/</t>
  </si>
  <si>
    <t>Retirada por bloqueo</t>
  </si>
  <si>
    <t>No</t>
  </si>
  <si>
    <t>Retirada del scraper por HTTP 403 desde GitHub Actions; no se vuelve a consultar. Los puntajes anteriores, si existen, son históricos. Corregida el 14-09-2026: se ignoran enlaces webcal:// no compatibles con Requests.</t>
  </si>
  <si>
    <t>Operativa tras la corrección; el calendario webcal ya no interrumpe la extracción de fichas HTML.</t>
  </si>
  <si>
    <t>Retirada</t>
  </si>
  <si>
    <t>https://github.com/sunsitox/sunsitox-Scraper_de_eventos_culturales/blob/main/docs/SOURCES.md#fuentes-retiradas</t>
  </si>
  <si>
    <t>CL-FUE-0011</t>
  </si>
  <si>
    <t>Santiago Cultura</t>
  </si>
  <si>
    <t>Subdirección de Cultura · Municipalidad de Santiago</t>
  </si>
  <si>
    <t>https://www.santiagocultura.cl/agenda-cultural/</t>
  </si>
  <si>
    <t>santiago_wordpress</t>
  </si>
  <si>
    <t>Revisión de integración 31-10-2026: configuración habilitada; 2 registros publicados no suprimidos en Supabase. Con aporte publicado. Los puntajes y la auditoría técnica anteriores no se recalcularon. Antecedente: Conector incremental activo: reutiliza fichas sin cambios y conserva checkpoints.</t>
  </si>
  <si>
    <t>Operativa mediante extracción incremental; las fichas históricas sin cambios no se descargan nuevamente.</t>
  </si>
  <si>
    <t>CL-FUE-0012</t>
  </si>
  <si>
    <t>Teatro Municipal de Viña del Mar</t>
  </si>
  <si>
    <t>Artes escénicas</t>
  </si>
  <si>
    <t>https://teatrovina.cl/cartelera/</t>
  </si>
  <si>
    <t>Revisión de integración 31-10-2026: configuración habilitada; 0 registros publicados no suprimidos en Supabase. Sin aporte publicado. Los puntajes y la auditoría técnica anteriores no se recalcularon. Antecedente: Ejecución reciente: conector funcional.</t>
  </si>
  <si>
    <t>Operativa: cartelera accesible y con señales de eventos.</t>
  </si>
  <si>
    <t>CL-FUE-0013</t>
  </si>
  <si>
    <t>Ticketplus · Región Metropolitana</t>
  </si>
  <si>
    <t>https://ticketplus.cl/states/region-metropolitana</t>
  </si>
  <si>
    <t>Reemplazada por cobertura nacional</t>
  </si>
  <si>
    <t>Configuración histórica sustituida por Ticketplus · Chile. Se conserva como antecedente, pero no cuenta como una segunda integración ni como otra fuente elegible.</t>
  </si>
  <si>
    <t>No se ejecuta ni se considera integración operativa.</t>
  </si>
  <si>
    <t>Reemplazada</t>
  </si>
  <si>
    <t>https://github.com/sunsitox/sunsitox-Scraper_de_eventos_culturales/blob/main/sources/ticketplus-rm.json</t>
  </si>
  <si>
    <t>CL-FUE-0014</t>
  </si>
  <si>
    <t>Agenda Cultural UOH</t>
  </si>
  <si>
    <t>Universidad de O'Higgins</t>
  </si>
  <si>
    <t>https://www.uoh.cl/extension/agenda/</t>
  </si>
  <si>
    <t>wordpress_rest</t>
  </si>
  <si>
    <t>Revisión de integración 31-10-2026: configuración habilitada; 13 registros publicados no suprimidos en Supabase. Con aporte publicado. Los puntajes y la auditoría técnica anteriores no se recalcularon. Antecedente: Ejecución reciente: conector funcional.</t>
  </si>
  <si>
    <t>https://www.uoh.cl/extension/agenda</t>
  </si>
  <si>
    <t>Operativa: API WordPress y validación de URLs activas.</t>
  </si>
  <si>
    <t>CL-FUE-0015</t>
  </si>
  <si>
    <t>Valpo Cultura</t>
  </si>
  <si>
    <t>Dirección de Desarrollo Cultural · Municipalidad de Valparaíso</t>
  </si>
  <si>
    <t>Valparaíso</t>
  </si>
  <si>
    <t>https://valpocultura.cl/agenda-cultural/</t>
  </si>
  <si>
    <t>Revisión de integración 31-10-2026: configuración habilitada; 2 registros publicados no suprimidos en Supabase. Con aporte publicado. Los puntajes y la auditoría técnica anteriores no se recalcularon. Antecedente: Ejecución reciente: conector funcional.</t>
  </si>
  <si>
    <t>Operativa: API de calendario funcional.</t>
  </si>
  <si>
    <t>CL-FUE-0016</t>
  </si>
  <si>
    <t>Día de los Patrimonios</t>
  </si>
  <si>
    <t>Ministerio de las Culturas, las Artes y el Patrimonio</t>
  </si>
  <si>
    <t>Programa nacional</t>
  </si>
  <si>
    <t>Patrimonio; Museos; Artes</t>
  </si>
  <si>
    <t>Agenda web</t>
  </si>
  <si>
    <t>https://www.diadelospatrimonios.cl/</t>
  </si>
  <si>
    <t>Candidata verificada</t>
  </si>
  <si>
    <t>API/HTML</t>
  </si>
  <si>
    <t>Fuente digital recurrente; validar términos, paginación y estabilidad antes de integrarla.</t>
  </si>
  <si>
    <t>media</t>
  </si>
  <si>
    <t>https://www.diadelpatrimonio.cl/</t>
  </si>
  <si>
    <t>sin términos de agenda | 0 objetos Event JSON-LD | 0 señales</t>
  </si>
  <si>
    <t>CL-FUE-0017</t>
  </si>
  <si>
    <t>Museos de Chile</t>
  </si>
  <si>
    <t>Servicio Nacional del Patrimonio Cultural</t>
  </si>
  <si>
    <t>Directorio/agenda nacional</t>
  </si>
  <si>
    <t>Museos; Patrimonio; Artes visuales</t>
  </si>
  <si>
    <t>Portal web</t>
  </si>
  <si>
    <t>https://www.museoschile.gob.cl/</t>
  </si>
  <si>
    <t>HTML</t>
  </si>
  <si>
    <t>0 objetos Event JSON-LD | 0 enlaces | /</t>
  </si>
  <si>
    <t>CL-FUE-0018</t>
  </si>
  <si>
    <t>Bibliotecas Públicas</t>
  </si>
  <si>
    <t>Red nacional</t>
  </si>
  <si>
    <t>Literatura; Libro y lectura; Patrimonio</t>
  </si>
  <si>
    <t>https://www.bibliotecaspublicas.gob.cl/</t>
  </si>
  <si>
    <t>Media</t>
  </si>
  <si>
    <t>HTML/RSS</t>
  </si>
  <si>
    <t>programa | 0 objetos Event JSON-LD | 0 enlaces</t>
  </si>
  <si>
    <t>CL-FUE-0019</t>
  </si>
  <si>
    <t>Patrimonio Cultural</t>
  </si>
  <si>
    <t>Portal institucional</t>
  </si>
  <si>
    <t>Patrimonio; Archivos; Bibliotecas; Museos</t>
  </si>
  <si>
    <t>Noticias/agenda</t>
  </si>
  <si>
    <t>https://www.patrimoniocultural.gob.cl/</t>
  </si>
  <si>
    <t>0 objetos Event JSON-LD | /</t>
  </si>
  <si>
    <t>CL-FUE-0020</t>
  </si>
  <si>
    <t>Red Cultura</t>
  </si>
  <si>
    <t>Programa/red nacional</t>
  </si>
  <si>
    <t>Gestión cultural; Participación; Cultura comunitaria</t>
  </si>
  <si>
    <t>https://www.cultura.gob.cl/redcultura/</t>
  </si>
  <si>
    <t>Baja</t>
  </si>
  <si>
    <t>CL-FUE-0021</t>
  </si>
  <si>
    <t>CECREA</t>
  </si>
  <si>
    <t>Red de centros</t>
  </si>
  <si>
    <t>Infancias; Artes; Ciencia; Tecnología</t>
  </si>
  <si>
    <t>Cartelera por centro</t>
  </si>
  <si>
    <t>https://cecrea.cl/</t>
  </si>
  <si>
    <t>error_tls: HTTPSConnectionPool(host='cecrea.cl', port=443): Max retries exceeded with url: / (Caused by SSLError(SSLError(1, '[SSL: TLSV1_UNRECOGNIZED_NAME] tlsv1 unrecognized name (_ssl.c:1082)'))) | sin Content-Type | sin términos de agenda</t>
  </si>
  <si>
    <t>CL-FUE-0022</t>
  </si>
  <si>
    <t>Red Salas de Teatro</t>
  </si>
  <si>
    <t>Asociación Gremial Red de Salas de Teatro</t>
  </si>
  <si>
    <t>Red sectorial</t>
  </si>
  <si>
    <t>Teatro; Danza; Circo</t>
  </si>
  <si>
    <t>Cartelera web</t>
  </si>
  <si>
    <t>https://redsalasdeteatro.cl/</t>
  </si>
  <si>
    <t>CL-FUE-0023</t>
  </si>
  <si>
    <t>Red Salas de Cine</t>
  </si>
  <si>
    <t>Red Salas Independientes de Cine de Chile</t>
  </si>
  <si>
    <t>Cine; Audiovisual</t>
  </si>
  <si>
    <t>Carteleras enlazadas</t>
  </si>
  <si>
    <t>https://www.redsalasdecine.cl/</t>
  </si>
  <si>
    <t>https://www.redsalasdecine.cl/salas-de-la-red/</t>
  </si>
  <si>
    <t>actividades | 0 objetos Event JSON-LD | 0 señales</t>
  </si>
  <si>
    <t>CL-FUE-0024</t>
  </si>
  <si>
    <t>CineChile · Festivales</t>
  </si>
  <si>
    <t>Enciclopedia del Cine Chileno</t>
  </si>
  <si>
    <t>Directorio sectorial</t>
  </si>
  <si>
    <t>Cine; Audiovisual; Festivales</t>
  </si>
  <si>
    <t>Directorio web</t>
  </si>
  <si>
    <t>https://cinechile.cl/festivales/</t>
  </si>
  <si>
    <t>programacion | 0 objetos Event JSON-LD</t>
  </si>
  <si>
    <t>CL-FUE-0025</t>
  </si>
  <si>
    <t>MIC Chile</t>
  </si>
  <si>
    <t>Mercado/encuentro</t>
  </si>
  <si>
    <t>Música; Industrias creativas</t>
  </si>
  <si>
    <t>Programación web</t>
  </si>
  <si>
    <t>https://micchile.cultura.gob.cl/</t>
  </si>
  <si>
    <t>0 objetos Event JSON-LD | 1 enlaces | /</t>
  </si>
  <si>
    <t>CL-FUE-0026</t>
  </si>
  <si>
    <t>PuntoTicket · Chile</t>
  </si>
  <si>
    <t>PuntoTicket</t>
  </si>
  <si>
    <t>Tiquetera</t>
  </si>
  <si>
    <t>Música; Teatro; Humor; Festivales</t>
  </si>
  <si>
    <t>Cartelera</t>
  </si>
  <si>
    <t>https://www.puntoticket.com/</t>
  </si>
  <si>
    <t>puntoticket_json</t>
  </si>
  <si>
    <t>Revisión de integración 31-10-2026: configuración habilitada; 215 registros publicados no suprimidos en Supabase. Con aporte publicado. Los puntajes y la auditoría técnica anteriores no se recalcularon. Antecedente: Fuente digital recurrente; validar términos, paginación y estabilidad antes de integrarla.</t>
  </si>
  <si>
    <t>CL-FUE-0027</t>
  </si>
  <si>
    <t>Ticketmaster Chile</t>
  </si>
  <si>
    <t>Música; Teatro; Festivales</t>
  </si>
  <si>
    <t>https://www.ticketmaster.cl/</t>
  </si>
  <si>
    <t>CL-FUE-0028</t>
  </si>
  <si>
    <t>Ticketplus · Chile</t>
  </si>
  <si>
    <t>Ticketplus</t>
  </si>
  <si>
    <t>Chile</t>
  </si>
  <si>
    <t>Música; Teatro; Cultura; Festivales</t>
  </si>
  <si>
    <t>Carteleras regionales</t>
  </si>
  <si>
    <t>https://ticketplus.cl/</t>
  </si>
  <si>
    <t>ticketplus_chile</t>
  </si>
  <si>
    <t>Revisión de integración 31-10-2026: configuración habilitada; 465 registros publicados no suprimidos en Supabase. Con aporte publicado. Los puntajes y la auditoría técnica anteriores no se recalcularon. Antecedente: Conector nacional activo: descubre las 16 carteleras regionales y aísla los fallos por región.</t>
  </si>
  <si>
    <t>Operativa con cobertura nacional, extracción incremental y filtro cultural global.</t>
  </si>
  <si>
    <t>CL-FUE-0029</t>
  </si>
  <si>
    <t>Passline · Chile</t>
  </si>
  <si>
    <t>Passline</t>
  </si>
  <si>
    <t>Música; Teatro; Festivales; Ferias</t>
  </si>
  <si>
    <t>https://home.passline.com/home</t>
  </si>
  <si>
    <t>https://www.passline.com/</t>
  </si>
  <si>
    <t>passline_json</t>
  </si>
  <si>
    <t>Revisión de integración 31-10-2026: configuración habilitada; 1355 registros publicados no suprimidos en Supabase. Con aporte publicado. Los puntajes y la auditoría técnica anteriores no se recalcularon. Antecedente: Fuente digital recurrente; validar términos, paginación y estabilidad antes de integrarla.</t>
  </si>
  <si>
    <t>https://home.passline.com</t>
  </si>
  <si>
    <t>0 objetos Event JSON-LD | 0 señales | 1 enlaces</t>
  </si>
  <si>
    <t>CL-FUE-0030</t>
  </si>
  <si>
    <t>Eventrid</t>
  </si>
  <si>
    <t>Música; Cultura; Congresos; Ferias</t>
  </si>
  <si>
    <t>https://www.eventrid.cl/</t>
  </si>
  <si>
    <t>eventos | 0 objetos Event JSON-LD | 0 señales</t>
  </si>
  <si>
    <t>CL-FUE-0031</t>
  </si>
  <si>
    <t>Welcu</t>
  </si>
  <si>
    <t>Plataforma de eventos</t>
  </si>
  <si>
    <t>Cultura; Talleres; Ferias; Conferencias</t>
  </si>
  <si>
    <t>Buscador</t>
  </si>
  <si>
    <t>https://welcu.com/</t>
  </si>
  <si>
    <t>https://welcu.com/es</t>
  </si>
  <si>
    <t>0 objetos Event JSON-LD | /es</t>
  </si>
  <si>
    <t>CL-FUE-0032</t>
  </si>
  <si>
    <t>PortalTickets</t>
  </si>
  <si>
    <t>https://www.portaltickets.cl/</t>
  </si>
  <si>
    <t>https://www.portaldisc.com/portaltickets</t>
  </si>
  <si>
    <t>0 objetos Event JSON-LD | /portaltickets</t>
  </si>
  <si>
    <t>CL-FUE-0033</t>
  </si>
  <si>
    <t>EcoPass</t>
  </si>
  <si>
    <t>Música; Cultura; Ferias</t>
  </si>
  <si>
    <t>https://www.ecopass.cl/</t>
  </si>
  <si>
    <t>http_403 | sin términos de agenda | 0 objetos Event JSON-LD</t>
  </si>
  <si>
    <t>CL-FUE-0034</t>
  </si>
  <si>
    <t>Fundación Teatro a Mil</t>
  </si>
  <si>
    <t>Festival/productora</t>
  </si>
  <si>
    <t>Teatro; Danza; Circo; Artes escénicas</t>
  </si>
  <si>
    <t>https://teatroamil.cl/</t>
  </si>
  <si>
    <t>CL-FUE-0035</t>
  </si>
  <si>
    <t>Cultura Arica</t>
  </si>
  <si>
    <t>Municipalidad de Arica</t>
  </si>
  <si>
    <t>Agenda municipal</t>
  </si>
  <si>
    <t>Regional/comunal</t>
  </si>
  <si>
    <t>Arica</t>
  </si>
  <si>
    <t>Multidisciplinario; Patrimonio</t>
  </si>
  <si>
    <t>Portal municipal</t>
  </si>
  <si>
    <t>https://www.muniarica.cl/</t>
  </si>
  <si>
    <t>CL-FUE-0036</t>
  </si>
  <si>
    <t>Festival Internacional de Cine Arica Nativa</t>
  </si>
  <si>
    <t>Fundación Altiplano</t>
  </si>
  <si>
    <t>Festival</t>
  </si>
  <si>
    <t>Regional</t>
  </si>
  <si>
    <t>Cine; Patrimonio; Pueblos originarios</t>
  </si>
  <si>
    <t>Programación</t>
  </si>
  <si>
    <t>https://www.aricanativa.cl/</t>
  </si>
  <si>
    <t>proximamente | 0 objetos Event JSON-LD | 0 enlaces</t>
  </si>
  <si>
    <t>CL-FUE-0037</t>
  </si>
  <si>
    <t>Iquique Cultural</t>
  </si>
  <si>
    <t>Corporación Municipal de Desarrollo Social de Iquique</t>
  </si>
  <si>
    <t>Iquique</t>
  </si>
  <si>
    <t>https://www.municipioiquique.cl/</t>
  </si>
  <si>
    <t>cultural | 0 objetos Event JSON-LD | /</t>
  </si>
  <si>
    <t>CL-FUE-0038</t>
  </si>
  <si>
    <t>Teatro Municipal de Iquique</t>
  </si>
  <si>
    <t>Municipalidad de Iquique</t>
  </si>
  <si>
    <t>Teatro municipal</t>
  </si>
  <si>
    <t>Teatro; Música; Danza</t>
  </si>
  <si>
    <t>https://www.teatromunicipaliquique.cl/</t>
  </si>
  <si>
    <t>error_red: HTTPSConnectionPool(host='www.teatromunicipaliquique.cl', port=443): Max retries exceeded with url: / (Caused by NameResolutionError("HTTPSConnection(host='www.teatromunicipaliquique.cl', port=443): Failed to resolve 'www.teatromunicipaliqu | sin Content-Type | sin términos de agenda</t>
  </si>
  <si>
    <t>CL-FUE-0039</t>
  </si>
  <si>
    <t>Cultura Antofagasta</t>
  </si>
  <si>
    <t>Corporación Cultural de Antofagasta</t>
  </si>
  <si>
    <t>Agenda cultural</t>
  </si>
  <si>
    <t>Antofagasta</t>
  </si>
  <si>
    <t>Música; Teatro; Danza; Artes</t>
  </si>
  <si>
    <t>https://culturaantofagasta.cl/</t>
  </si>
  <si>
    <t>0 objetos Event JSON-LD | 0 señales | /</t>
  </si>
  <si>
    <t>CL-FUE-0040</t>
  </si>
  <si>
    <t>Teatro Municipal de Antofagasta</t>
  </si>
  <si>
    <t>CL-FUE-0041</t>
  </si>
  <si>
    <t>Fundación Cultural San Pedro de Atacama</t>
  </si>
  <si>
    <t>Fundación de Cultura de San Pedro de Atacama</t>
  </si>
  <si>
    <t>Centro cultural</t>
  </si>
  <si>
    <t>Comunal</t>
  </si>
  <si>
    <t>San Pedro de Atacama</t>
  </si>
  <si>
    <t>Patrimonio; Pueblos originarios; Música; Artes</t>
  </si>
  <si>
    <t>Portal/redes</t>
  </si>
  <si>
    <t>https://fundacionspa.cl/</t>
  </si>
  <si>
    <t>HTML/redes</t>
  </si>
  <si>
    <t>https://www.fundacionspa.cl/</t>
  </si>
  <si>
    <t>actividades | 0 objetos Event JSON-LD | /</t>
  </si>
  <si>
    <t>CL-FUE-0042</t>
  </si>
  <si>
    <t>Cultura Copiapó</t>
  </si>
  <si>
    <t>Municipalidad de Copiapó</t>
  </si>
  <si>
    <t>Copiapó</t>
  </si>
  <si>
    <t>https://copiapo.cl/</t>
  </si>
  <si>
    <t>CL-FUE-0043</t>
  </si>
  <si>
    <t>Centro Cultural Atacama</t>
  </si>
  <si>
    <t>Teatro; Música; Danza; Artes</t>
  </si>
  <si>
    <t>Cartelera/redes</t>
  </si>
  <si>
    <t>CL-FUE-0044</t>
  </si>
  <si>
    <t>Cultura La Serena</t>
  </si>
  <si>
    <t>Municipalidad de La Serena</t>
  </si>
  <si>
    <t>La Serena</t>
  </si>
  <si>
    <t>https://www.laserena.cl/</t>
  </si>
  <si>
    <t>https://laserena.cl/</t>
  </si>
  <si>
    <t>CL-FUE-0045</t>
  </si>
  <si>
    <t>Teatro Municipal de La Serena</t>
  </si>
  <si>
    <t>CL-FUE-0046</t>
  </si>
  <si>
    <t>Centro Cultural Palace</t>
  </si>
  <si>
    <t>Municipalidad de Coquimbo</t>
  </si>
  <si>
    <t>Coquimbo</t>
  </si>
  <si>
    <t>Artes visuales; Música; Teatro; Patrimonio</t>
  </si>
  <si>
    <t>https://centroculturalpalace.cl/</t>
  </si>
  <si>
    <t>error_red: HTTPSConnectionPool(host='centroculturalpalace.cl', port=443): Max retries exceeded with url: / (Caused by NameResolutionError("HTTPSConnection(host='centroculturalpalace.cl', port=443): Failed to resolve 'centroculturalpalace.cl' ([Errno 1 | sin Content-Type | sin términos de agenda</t>
  </si>
  <si>
    <t>CL-FUE-0047</t>
  </si>
  <si>
    <t>Teatro Municipal de Ovalle</t>
  </si>
  <si>
    <t>Corporación Cultural Municipal de Ovalle</t>
  </si>
  <si>
    <t>Ovalle</t>
  </si>
  <si>
    <t>https://www.tmo.cl/</t>
  </si>
  <si>
    <t>https://ccmo.cl/web/</t>
  </si>
  <si>
    <t>0 objetos Event JSON-LD | /web/</t>
  </si>
  <si>
    <t>CL-FUE-0048</t>
  </si>
  <si>
    <t>Parque Cultural de Valparaíso</t>
  </si>
  <si>
    <t>Artes escénicas; Música; Artes visuales; Patrimonio</t>
  </si>
  <si>
    <t>https://parquecultural.cl/agenda-de-actividades/</t>
  </si>
  <si>
    <t>https://parquecultural.cl/</t>
  </si>
  <si>
    <t>Revisión de integración 31-10-2026: configuración habilitada; 3 registros publicados no suprimidos en Supabase. Con aporte publicado. Los puntajes y la auditoría técnica anteriores no se recalcularon. Antecedente: Configurada el 14-09-2026: API WordPress pública events_list.</t>
  </si>
  <si>
    <t>Extracción declarativa con fechas ACF, enlace oficial e imagen del evento.</t>
  </si>
  <si>
    <t>CL-FUE-0049</t>
  </si>
  <si>
    <t>CENTEX</t>
  </si>
  <si>
    <t>Artes; Patrimonio; Mediación</t>
  </si>
  <si>
    <t>https://centex.cultura.gob.cl/category/programacion/</t>
  </si>
  <si>
    <t>https://centex.cultura.gob.cl/</t>
  </si>
  <si>
    <t>0 objetos Event JSON-LD</t>
  </si>
  <si>
    <t>CL-FUE-0050</t>
  </si>
  <si>
    <t>Teatro Municipal de Valparaíso</t>
  </si>
  <si>
    <t>Municipalidad de Valparaíso</t>
  </si>
  <si>
    <t>https://teatromunicipalvalparaiso.cl/</t>
  </si>
  <si>
    <t>error_red: HTTPSConnectionPool(host='teatromunicipalvalparaiso.cl', port=443): Max retries exceeded with url: / (Caused by NameResolutionError("HTTPSConnection(host='teatromunicipalvalparaiso.cl', port=443): Failed to resolve 'teatromunicipalvalparais | sin Content-Type | sin términos de agenda</t>
  </si>
  <si>
    <t>CL-FUE-0051</t>
  </si>
  <si>
    <t>Museo Baburizza</t>
  </si>
  <si>
    <t>Corporación Museo de Bellas Artes de Valparaíso</t>
  </si>
  <si>
    <t>Museo</t>
  </si>
  <si>
    <t>Artes visuales; Patrimonio</t>
  </si>
  <si>
    <t>Actividades</t>
  </si>
  <si>
    <t>https://museobaburizza.cl/</t>
  </si>
  <si>
    <t>https://www.museobaburizza.cl/</t>
  </si>
  <si>
    <t>CL-FUE-0052</t>
  </si>
  <si>
    <t>Festival Internacional de Cine de Viña del Mar</t>
  </si>
  <si>
    <t>Municipalidad de Viña del Mar / Universidad de Valparaíso</t>
  </si>
  <si>
    <t>Nacional/internacional</t>
  </si>
  <si>
    <t>https://ficvina.cl/</t>
  </si>
  <si>
    <t>https://cinevina.cl/</t>
  </si>
  <si>
    <t>CL-FUE-0053</t>
  </si>
  <si>
    <t>Matucana 100</t>
  </si>
  <si>
    <t>Corporación Cultural Matucana 100</t>
  </si>
  <si>
    <t>Regional/nacional</t>
  </si>
  <si>
    <t>Estación Central</t>
  </si>
  <si>
    <t>Teatro; Danza; Música; Cine; Artes visuales</t>
  </si>
  <si>
    <t>https://www.m100.cl/</t>
  </si>
  <si>
    <t>cartelera | 0 objetos Event JSON-LD | /</t>
  </si>
  <si>
    <t>CL-FUE-0054</t>
  </si>
  <si>
    <t>Teatro Municipal de Santiago</t>
  </si>
  <si>
    <t>Corporación Cultural de Santiago</t>
  </si>
  <si>
    <t>Teatro</t>
  </si>
  <si>
    <t>Ópera; Ballet; Música clásica</t>
  </si>
  <si>
    <t>Calendario</t>
  </si>
  <si>
    <t>https://municipal.cl/</t>
  </si>
  <si>
    <t>CL-FUE-0055</t>
  </si>
  <si>
    <t>Centro Cultural CEINA</t>
  </si>
  <si>
    <t>Fundación CEINA</t>
  </si>
  <si>
    <t>Teatro; Música; Danza; Exposiciones</t>
  </si>
  <si>
    <t>https://ceina.cl/cartelera/</t>
  </si>
  <si>
    <t>Revisión de integración 31-10-2026: configuración habilitada; 11 registros publicados no suprimidos en Supabase. Con aporte publicado. Los puntajes y la auditoría técnica anteriores no se recalcularon. Antecedente: Integración validada en vivo: 7 eventos vigentes con fechas, categorías, imágenes y fichas oficiales.</t>
  </si>
  <si>
    <t>Operativa: cartelera oficial accesible; se descartan publicaciones que solo informan el año y carecen de fecha de evento.</t>
  </si>
  <si>
    <t>CL-FUE-0056</t>
  </si>
  <si>
    <t>Fundación CorpArtes</t>
  </si>
  <si>
    <t>Las Condes</t>
  </si>
  <si>
    <t>Música; Teatro; Cine; Artes visuales</t>
  </si>
  <si>
    <t>https://corpartes.cl/programacion/</t>
  </si>
  <si>
    <t>https://corpartes.cl/</t>
  </si>
  <si>
    <t>Revisión de integración 31-10-2026: configuración habilitada; 8 registros publicados no suprimidos en Supabase. Con aporte publicado. Los puntajes y la auditoría técnica anteriores no se recalcularon. Antecedente: Configurada el 14-09-2026: tarjetas HTML de cartelera pública.</t>
  </si>
  <si>
    <t>Extracción declarativa de título, fecha, categoría y enlace de ticket oficial.</t>
  </si>
  <si>
    <t>CL-FUE-0057</t>
  </si>
  <si>
    <t>Centro Cultural Las Condes</t>
  </si>
  <si>
    <t>Corporación Cultural de Las Condes</t>
  </si>
  <si>
    <t>Red comunal</t>
  </si>
  <si>
    <t>Teatro; Música; Cine; Artes visuales; Talleres</t>
  </si>
  <si>
    <t>Agenda</t>
  </si>
  <si>
    <t>https://www.culturallascondes.cl/</t>
  </si>
  <si>
    <t>error_tls: HTTPSConnectionPool(host='www.culturallascondes.cl', port=443): Max retries exceeded with url: / (Caused by SSLError(SSLCertVerificationError(1, '[SSL: CERTIFICATE_VERIFY_FAILED] certificate verify failed: unable to get local issuer certifi | sin Content-Type | sin términos de agenda</t>
  </si>
  <si>
    <t>CL-FUE-0058</t>
  </si>
  <si>
    <t>Cultura Providencia</t>
  </si>
  <si>
    <t>Fundación Cultural de Providencia</t>
  </si>
  <si>
    <t>Providencia</t>
  </si>
  <si>
    <t>Teatro; Música; Cine; Artes; Patrimonio</t>
  </si>
  <si>
    <t>https://culturaprovidencia.cl/</t>
  </si>
  <si>
    <t>CL-FUE-0059</t>
  </si>
  <si>
    <t>Cultura Ñuñoa</t>
  </si>
  <si>
    <t>Corporación Cultural de Ñuñoa</t>
  </si>
  <si>
    <t>Ñuñoa</t>
  </si>
  <si>
    <t>https://www.ccn.cl/</t>
  </si>
  <si>
    <t>CL-FUE-0060</t>
  </si>
  <si>
    <t>Cultura Vitacura</t>
  </si>
  <si>
    <t>Municipalidad de Vitacura</t>
  </si>
  <si>
    <t>Vitacura</t>
  </si>
  <si>
    <t>Teatro; Música; Artes; Talleres</t>
  </si>
  <si>
    <t>https://vitacuracultura.cl/actividades/</t>
  </si>
  <si>
    <t>https://vitacuracultura.cl/</t>
  </si>
  <si>
    <t>Revisión de integración 31-10-2026: configuración habilitada; 0 registros publicados no suprimidos en Supabase. Sin aporte publicado. Los puntajes y la auditoría técnica anteriores no se recalcularon. Antecedente: Configurada el 14-09-2026: tarjetas HTML de actividades públicas.</t>
  </si>
  <si>
    <t>Extracción declarativa de actividades; conserva el enlace oficial y la programación recurrente.</t>
  </si>
  <si>
    <t>CL-FUE-0061</t>
  </si>
  <si>
    <t>Cultura Lo Barnechea</t>
  </si>
  <si>
    <t>Corporación Cultural de Lo Barnechea</t>
  </si>
  <si>
    <t>Lo Barnechea</t>
  </si>
  <si>
    <t>https://www.culturalobarnechea.cl/</t>
  </si>
  <si>
    <t>error_red: HTTPSConnectionPool(host='www.culturalobarnechea.cl', port=443): Max retries exceeded with url: / (Caused by NameResolutionError("HTTPSConnection(host='www.culturalobarnechea.cl', port=443): Failed to resolve 'www.culturalobarnechea.cl' ([E | sin Content-Type | sin términos de agenda</t>
  </si>
  <si>
    <t>CL-FUE-0062</t>
  </si>
  <si>
    <t>Cultura La Reina</t>
  </si>
  <si>
    <t>Corporación Cultural de La Reina</t>
  </si>
  <si>
    <t>La Reina</t>
  </si>
  <si>
    <t>https://www.culturalareina.cl/</t>
  </si>
  <si>
    <t>https://culturalareina.cl/</t>
  </si>
  <si>
    <t>CL-FUE-0063</t>
  </si>
  <si>
    <t>Centro Cultural Chimkowe</t>
  </si>
  <si>
    <t>Municipalidad de Peñalolén</t>
  </si>
  <si>
    <t>Peñalolén</t>
  </si>
  <si>
    <t>Música; Teatro; Ferias; Cultura comunitaria</t>
  </si>
  <si>
    <t>https://www.chimkowe.cl/</t>
  </si>
  <si>
    <t>https://chimkowe.cl/</t>
  </si>
  <si>
    <t>programacion | 0 objetos Event JSON-LD | /</t>
  </si>
  <si>
    <t>CL-FUE-0064</t>
  </si>
  <si>
    <t>Centro Cultural San Joaquín</t>
  </si>
  <si>
    <t>Corporación Municipal de Cultura de San Joaquín</t>
  </si>
  <si>
    <t>San Joaquín</t>
  </si>
  <si>
    <t>Teatro; Danza; Música; Cine; Talleres</t>
  </si>
  <si>
    <t>https://culturasanjoaquin.cl/</t>
  </si>
  <si>
    <t>CL-FUE-0065</t>
  </si>
  <si>
    <t>Balmaceda Arte Joven</t>
  </si>
  <si>
    <t>Corporación Cultural Balmaceda Arte Joven</t>
  </si>
  <si>
    <t>Artes; Formación; Juventudes</t>
  </si>
  <si>
    <t>Agenda por sede</t>
  </si>
  <si>
    <t>https://www.balmacedartejoven.cl/</t>
  </si>
  <si>
    <t>CL-FUE-0066</t>
  </si>
  <si>
    <t>Museo Nacional de Bellas Artes</t>
  </si>
  <si>
    <t>Exposiciones/actividades</t>
  </si>
  <si>
    <t>https://www.mnba.gob.cl/</t>
  </si>
  <si>
    <t>CL-FUE-0067</t>
  </si>
  <si>
    <t>Museo de Arte Contemporáneo</t>
  </si>
  <si>
    <t>Universidad de Chile</t>
  </si>
  <si>
    <t>Arte contemporáneo; Exposiciones</t>
  </si>
  <si>
    <t>https://mac.uchile.cl/</t>
  </si>
  <si>
    <t>CL-FUE-0068</t>
  </si>
  <si>
    <t>Museo de la Memoria y los Derechos Humanos</t>
  </si>
  <si>
    <t>Fundación Museo de la Memoria</t>
  </si>
  <si>
    <t>Memoria; Derechos humanos; Cine; Artes</t>
  </si>
  <si>
    <t>https://mmdh.cl/cartelera</t>
  </si>
  <si>
    <t>https://mmdh.cl/</t>
  </si>
  <si>
    <t>json_api</t>
  </si>
  <si>
    <t>Revisión de integración 31-10-2026: configuración habilitada; 4 registros publicados no suprimidos en Supabase. Con aporte publicado. Los puntajes y la auditoría técnica anteriores no se recalcularon. Antecedente: Fuente digital recurrente; validar términos, paginación y estabilidad antes de integrarla.</t>
  </si>
  <si>
    <t>CL-FUE-0069</t>
  </si>
  <si>
    <t>Museo Interactivo Mirador</t>
  </si>
  <si>
    <t>Fundación Tiempos Nuevos</t>
  </si>
  <si>
    <t>La Granja</t>
  </si>
  <si>
    <t>Ciencia; Educación; Cultura</t>
  </si>
  <si>
    <t>https://mim.cl/</t>
  </si>
  <si>
    <t>CL-FUE-0070</t>
  </si>
  <si>
    <t>Biblioteca Nacional de Chile</t>
  </si>
  <si>
    <t>Biblioteca</t>
  </si>
  <si>
    <t>Literatura; Patrimonio; Exposiciones; Música</t>
  </si>
  <si>
    <t>https://www.bibliotecanacional.gob.cl/</t>
  </si>
  <si>
    <t>CL-FUE-0071</t>
  </si>
  <si>
    <t>Teatro UC</t>
  </si>
  <si>
    <t>Pontificia Universidad Católica de Chile</t>
  </si>
  <si>
    <t>Teatro universitario</t>
  </si>
  <si>
    <t>Teatro; Artes escénicas</t>
  </si>
  <si>
    <t>https://teatrouc.uc.cl/</t>
  </si>
  <si>
    <t>CL-FUE-0072</t>
  </si>
  <si>
    <t>Teatro Nacional Chileno</t>
  </si>
  <si>
    <t>https://tnch.uchile.cl/</t>
  </si>
  <si>
    <t>CL-FUE-0073</t>
  </si>
  <si>
    <t>Centro Arte Alameda</t>
  </si>
  <si>
    <t>Centro cultural/cine</t>
  </si>
  <si>
    <t>Cine; Música; Artes</t>
  </si>
  <si>
    <t>https://centroartealameda.cl/</t>
  </si>
  <si>
    <t>No permite</t>
  </si>
  <si>
    <t>El sitio no permite este agente en robots.txt. | robots_txt_no_permite | robots.txt lo impide</t>
  </si>
  <si>
    <t>CL-FUE-0074</t>
  </si>
  <si>
    <t>Cineteca Nacional de Chile</t>
  </si>
  <si>
    <t>Cineteca</t>
  </si>
  <si>
    <t>Cine; Patrimonio audiovisual</t>
  </si>
  <si>
    <t>https://www.cclm.cl/cineteca-nacional-de-chile/</t>
  </si>
  <si>
    <t>https://www.cclm.cl/</t>
  </si>
  <si>
    <t>0 objetos Event JSON-LD | /cineteca-nacional-de-chile/</t>
  </si>
  <si>
    <t>CL-FUE-0075</t>
  </si>
  <si>
    <t>Teatro Regional Lucho Gatica</t>
  </si>
  <si>
    <t>https://rancaguacultura.cl/</t>
  </si>
  <si>
    <t>CL-FUE-0076</t>
  </si>
  <si>
    <t>Fiesta de la Vendimia de Colchagua</t>
  </si>
  <si>
    <t>Municipalidad de Santa Cruz / Ruta del Vino Colchagua</t>
  </si>
  <si>
    <t>Fiesta costumbrista/vinícola</t>
  </si>
  <si>
    <t>Santa Cruz</t>
  </si>
  <si>
    <t>Vendimia; Música; Gastronomía; Patrimonio</t>
  </si>
  <si>
    <t>Sitio/calendario</t>
  </si>
  <si>
    <t>https://www.rutadelvino.cl/</t>
  </si>
  <si>
    <t>https://www.enoturismochile.cl/descargas/</t>
  </si>
  <si>
    <t>HTML/PDF</t>
  </si>
  <si>
    <t>https://rutadelvino.cl/es</t>
  </si>
  <si>
    <t>CL-FUE-0077</t>
  </si>
  <si>
    <t>Teatro Regional del Maule</t>
  </si>
  <si>
    <t>Corporación Regional de Desarrollo Productivo del Maule</t>
  </si>
  <si>
    <t>https://www.teatroregional.cl/cartelera</t>
  </si>
  <si>
    <t>https://www.teatroregional.cl/</t>
  </si>
  <si>
    <t>Revisión de integración 31-10-2026: configuración habilitada; 5 registros publicados no suprimidos en Supabase. Con aporte publicado. Los puntajes y la auditoría técnica anteriores no se recalcularon. Antecedente: Fuente digital recurrente; validar términos, paginación y estabilidad antes de integrarla.</t>
  </si>
  <si>
    <t>CL-FUE-0078</t>
  </si>
  <si>
    <t>Extensión Cultural UCM</t>
  </si>
  <si>
    <t>Universidad Católica del Maule</t>
  </si>
  <si>
    <t>Agenda universitaria</t>
  </si>
  <si>
    <t>Talca/Curicó</t>
  </si>
  <si>
    <t>Artes; Música; Cine; Literatura</t>
  </si>
  <si>
    <t>https://portal.ucm.cl/extension</t>
  </si>
  <si>
    <t>CL-FUE-0079</t>
  </si>
  <si>
    <t>Teatro Municipal de Chillán</t>
  </si>
  <si>
    <t>Municipalidad de Chillán</t>
  </si>
  <si>
    <t>Chillán</t>
  </si>
  <si>
    <t>https://teatrochillan.cl/cartelera/</t>
  </si>
  <si>
    <t>https://teatromunicipalchillan.cl/</t>
  </si>
  <si>
    <t>error_red: HTTPSConnectionPool(host='teatromunicipalchillan.cl', port=443): Max retries exceeded with url: / (Caused by NameResolutionError("HTTPSConnection(host='teatromunicipalchillan.cl', port=443): Failed to resolve 'teatromunicipalchillan.cl' ([E | sin Content-Type | sin términos de agenda</t>
  </si>
  <si>
    <t>CL-FUE-0080</t>
  </si>
  <si>
    <t>Centro Cultural Municipal de Chillán</t>
  </si>
  <si>
    <t>Artes; Talleres; Cultura comunitaria</t>
  </si>
  <si>
    <t>https://www.municipalidadchillan.cl/</t>
  </si>
  <si>
    <t>https://www.municipalidadchillan.cl/sitio/</t>
  </si>
  <si>
    <t>0 objetos Event JSON-LD | /sitio/</t>
  </si>
  <si>
    <t>CL-FUE-0081</t>
  </si>
  <si>
    <t>Concepción Cultural</t>
  </si>
  <si>
    <t>Corporación Cultural de Concepción</t>
  </si>
  <si>
    <t>Concepción</t>
  </si>
  <si>
    <t>https://www.concepcioncultural.cl/</t>
  </si>
  <si>
    <t>CL-FUE-0082</t>
  </si>
  <si>
    <t>Teatro Biobío</t>
  </si>
  <si>
    <t>Fundación Teatro Biobío</t>
  </si>
  <si>
    <t>Teatro; Música; Danza; Circo</t>
  </si>
  <si>
    <t>https://teatrobiobio.cl/categoria/cartelera/</t>
  </si>
  <si>
    <t>https://www.teatrobiobio.cl/</t>
  </si>
  <si>
    <t>teatro_biobio</t>
  </si>
  <si>
    <t>Revisión de integración 31-10-2026: configuración habilitada; 25 registros publicados no suprimidos en Supabase. Con aporte publicado. Los puntajes y la auditoría técnica anteriores no se recalcularon. Antecedente: Fuente digital recurrente; validar términos, paginación y estabilidad antes de integrarla.</t>
  </si>
  <si>
    <t>https://teatrobiobio.cl/</t>
  </si>
  <si>
    <t>CL-FUE-0083</t>
  </si>
  <si>
    <t>Corcudec</t>
  </si>
  <si>
    <t>Corporación Cultural Universidad de Concepción</t>
  </si>
  <si>
    <t>Música; Artes; Extensión</t>
  </si>
  <si>
    <t>https://www.corcudec.cl/</t>
  </si>
  <si>
    <t>temporada | 0 objetos Event JSON-LD | /</t>
  </si>
  <si>
    <t>CL-FUE-0084</t>
  </si>
  <si>
    <t>Artistas del Acero</t>
  </si>
  <si>
    <t>Corporación Cultural Artistas del Acero</t>
  </si>
  <si>
    <t>Teatro; Danza; Música; Artes</t>
  </si>
  <si>
    <t>https://artistasdelacero.cl/</t>
  </si>
  <si>
    <t>error_tls: HTTPSConnectionPool(host='artistasdelacero.cl', port=443): Max retries exceeded with url: / (Caused by SSLError(SSLError(1, '[SSL: SSLV3_ALERT_HANDSHAKE_FAILURE] ssl/tls alert handshake failure (_ssl.c:1082)'))) | sin Content-Type | sin términos de agenda</t>
  </si>
  <si>
    <t>CL-FUE-0085</t>
  </si>
  <si>
    <t>Balmaceda Arte Joven Biobío</t>
  </si>
  <si>
    <t>CL-FUE-0086</t>
  </si>
  <si>
    <t>Festival Internacional de Cine de Lebu</t>
  </si>
  <si>
    <t>Agrupación Cultural Festival de Cine Caverna Benavides</t>
  </si>
  <si>
    <t>Lebu</t>
  </si>
  <si>
    <t>https://cinelebu.cl/</t>
  </si>
  <si>
    <t>programa | 0 objetos Event JSON-LD | 0 señales</t>
  </si>
  <si>
    <t>CL-FUE-0087</t>
  </si>
  <si>
    <t>Festival Frontera Sur</t>
  </si>
  <si>
    <t>Festival Internacional de Cine de No Ficción Frontera Sur</t>
  </si>
  <si>
    <t>Cine documental; Audiovisual</t>
  </si>
  <si>
    <t>https://fronterasurfestival.com/</t>
  </si>
  <si>
    <t>CL-FUE-0088</t>
  </si>
  <si>
    <t>Teatro Municipal de Temuco</t>
  </si>
  <si>
    <t>Municipalidad de Temuco</t>
  </si>
  <si>
    <t>Temuco</t>
  </si>
  <si>
    <t>https://ww2.teatromunicipaltemuco.cl/</t>
  </si>
  <si>
    <t>CL-FUE-0089</t>
  </si>
  <si>
    <t>Corporación Cultural de Temuco</t>
  </si>
  <si>
    <t>Multidisciplinario; Cultura mapuche</t>
  </si>
  <si>
    <t>https://www.temuco.cl/</t>
  </si>
  <si>
    <t>CL-FUE-0090</t>
  </si>
  <si>
    <t>Museo Nacional Ferroviario Pablo Neruda</t>
  </si>
  <si>
    <t>Patrimonio; Museos; Literatura</t>
  </si>
  <si>
    <t>https://www.museoferroviariotemuco.cl/</t>
  </si>
  <si>
    <t>https://museoferroviariotemuco.cl/</t>
  </si>
  <si>
    <t>actividades | 0 objetos Event JSON-LD | 0 enlaces</t>
  </si>
  <si>
    <t>CL-FUE-0091</t>
  </si>
  <si>
    <t>Corporación Cultural Municipal de Valdivia</t>
  </si>
  <si>
    <t>Municipalidad de Valdivia</t>
  </si>
  <si>
    <t>Valdivia</t>
  </si>
  <si>
    <t>https://ccm-valdivia.cl/</t>
  </si>
  <si>
    <t>https://www.ccm-valdivia.cl/webccm/</t>
  </si>
  <si>
    <t>0 objetos Event JSON-LD | 0 enlaces | /webccm/</t>
  </si>
  <si>
    <t>CL-FUE-0092</t>
  </si>
  <si>
    <t>Festival Internacional de Cine de Valdivia</t>
  </si>
  <si>
    <t>Centro Cultural de Promoción Cinematográfica de Valdivia</t>
  </si>
  <si>
    <t>https://ficvaldivia.cl/</t>
  </si>
  <si>
    <t>CL-FUE-0093</t>
  </si>
  <si>
    <t>Museo de Arte Contemporáneo Valdivia</t>
  </si>
  <si>
    <t>Universidad Austral de Chile</t>
  </si>
  <si>
    <t>https://macvaldivia.cl/</t>
  </si>
  <si>
    <t>error_tls: HTTPSConnectionPool(host='macvaldivia.cl', port=443): Max retries exceeded with url: / (Caused by SSLError(SSLCertVerificationError(1, '[SSL: CERTIFICATE_VERIFY_FAILED] certificate verify failed: certificate has expired (_ssl.c:1082)'))) | sin Content-Type | sin términos de agenda</t>
  </si>
  <si>
    <t>CL-FUE-0094</t>
  </si>
  <si>
    <t>Corporación Cultural de Puerto Montt</t>
  </si>
  <si>
    <t>Puerto Montt</t>
  </si>
  <si>
    <t>https://culturapuertomontt.cl/cartelera/</t>
  </si>
  <si>
    <t>https://www.culturapuertomontt.cl/</t>
  </si>
  <si>
    <t>Revisión de integración 31-10-2026: configuración habilitada; 2 registros publicados no suprimidos en Supabase. Con aporte publicado. Los puntajes y la auditoría técnica anteriores no se recalcularon. Antecedente: Fuente digital recurrente; validar términos, paginación y estabilidad antes de integrarla.</t>
  </si>
  <si>
    <t>horario | 0 objetos Event JSON-LD | 0 enlaces</t>
  </si>
  <si>
    <t>CL-FUE-0095</t>
  </si>
  <si>
    <t>Teatro Diego Rivera</t>
  </si>
  <si>
    <t>Teatro/centro cultural</t>
  </si>
  <si>
    <t>Teatro; Música; Cine; Artes</t>
  </si>
  <si>
    <t>CL-FUE-0096</t>
  </si>
  <si>
    <t>Centro de Arte Molino Machmar</t>
  </si>
  <si>
    <t>Corporación Centro de Arte Molino Machmar</t>
  </si>
  <si>
    <t>Puerto Varas</t>
  </si>
  <si>
    <t>Artes visuales; Música; Teatro; Patrimonio; Literatura</t>
  </si>
  <si>
    <t>https://www.molinomachmar.cl/cartelera/</t>
  </si>
  <si>
    <t>https://www.molinomachmar.cl/</t>
  </si>
  <si>
    <t>Revisión de integración 31-10-2026: configuración habilitada; 3 registros publicados no suprimidos en Supabase. Con aporte publicado. Los puntajes y la auditoría técnica anteriores no se recalcularon. Antecedente: Extracción real verificada: cinco eventos vigentes y fichas institucionales accesibles.</t>
  </si>
  <si>
    <t>Operativa: cartelera estructurada con fechas, categorías, imágenes y enlaces oficiales.</t>
  </si>
  <si>
    <t>CL-FUE-0097</t>
  </si>
  <si>
    <t>Corporación Cultural de Osorno</t>
  </si>
  <si>
    <t>Municipalidad de Osorno</t>
  </si>
  <si>
    <t>Osorno</t>
  </si>
  <si>
    <t>https://www.corporacionculturalosorno.cl/</t>
  </si>
  <si>
    <t>error_red: HTTPSConnectionPool(host='www.corporacionculturalosorno.cl', port=443): Max retries exceeded with url: / (Caused by NameResolutionError("HTTPSConnection(host='www.corporacionculturalosorno.cl', port=443): Failed to resolve 'www.corporacionc | sin Content-Type | cultural</t>
  </si>
  <si>
    <t>CL-FUE-0098</t>
  </si>
  <si>
    <t>Festival Internacional de Teatro Itinerante por Chiloé Profundo</t>
  </si>
  <si>
    <t>FITICH</t>
  </si>
  <si>
    <t>Regional/internacional</t>
  </si>
  <si>
    <t>Chiloé</t>
  </si>
  <si>
    <t>https://fitich.cl/</t>
  </si>
  <si>
    <t>CL-FUE-0099</t>
  </si>
  <si>
    <t>Corporación Cultural Municipal de Coyhaique</t>
  </si>
  <si>
    <t>Municipalidad de Coyhaique</t>
  </si>
  <si>
    <t>Coyhaique</t>
  </si>
  <si>
    <t>https://www.coyhaique.cl/</t>
  </si>
  <si>
    <t>CL-FUE-0100</t>
  </si>
  <si>
    <t>Centro Cultural Coyhaique</t>
  </si>
  <si>
    <t>CL-FUE-0101</t>
  </si>
  <si>
    <t>Red de Cultura Aysén</t>
  </si>
  <si>
    <t>Seremi de las Culturas de Aysén</t>
  </si>
  <si>
    <t>Red regional</t>
  </si>
  <si>
    <t>Cultura comunitaria; Patrimonio; Artes</t>
  </si>
  <si>
    <t>https://www.cultura.gob.cl/aysen/</t>
  </si>
  <si>
    <t>0 objetos Event JSON-LD | 0 enlaces | /aysen/</t>
  </si>
  <si>
    <t>CL-FUE-0102</t>
  </si>
  <si>
    <t>Fundación Cultural Punta Arenas</t>
  </si>
  <si>
    <t>Municipalidad de Punta Arenas</t>
  </si>
  <si>
    <t>Punta Arenas</t>
  </si>
  <si>
    <t>https://culturapuntaarenas.cl/</t>
  </si>
  <si>
    <t>error_red: HTTPSConnectionPool(host='culturapuntaarenas.cl', port=443): Max retries exceeded with url: / (Caused by NameResolutionError("HTTPSConnection(host='culturapuntaarenas.cl', port=443): Failed to resolve 'culturapuntaarenas.cl' ([Errno 11001]  | sin Content-Type | sin términos de agenda</t>
  </si>
  <si>
    <t>CL-FUE-0103</t>
  </si>
  <si>
    <t>Centro Cultural Claudio Paredes Chamorro</t>
  </si>
  <si>
    <t>CL-FUE-0104</t>
  </si>
  <si>
    <t>Festival de Cine Polo Sur Latinoamericano</t>
  </si>
  <si>
    <t>Agrupación Audiovisual Proa</t>
  </si>
  <si>
    <t>https://www.cinepolosur.cl/</t>
  </si>
  <si>
    <t>error_red: HTTPSConnectionPool(host='www.cinepolosur.cl', port=443): Max retries exceeded with url: / (Caused by NameResolutionError("HTTPSConnection(host='www.cinepolosur.cl', port=443): Failed to resolve 'www.cinepolosur.cl' ([Errno 11001] getaddrin | sin Content-Type | sin términos de agenda</t>
  </si>
  <si>
    <t>CL-FUE-0105</t>
  </si>
  <si>
    <t>Zava Café Arte</t>
  </si>
  <si>
    <t>Espacio cultural del directorio oficial</t>
  </si>
  <si>
    <t>Comunal/local</t>
  </si>
  <si>
    <t>Artesanía; Artes visuales; Educación artística</t>
  </si>
  <si>
    <t>Canal digital por localizar</t>
  </si>
  <si>
    <t>https://ciudadania.cultura.gob.cl/wp-content/uploads/2025/12/Directorio_Espacios-Culturales-2025_RC.pdf#page=5</t>
  </si>
  <si>
    <t>Referencia territorial</t>
  </si>
  <si>
    <t>Investigación manual</t>
  </si>
  <si>
    <t>Dirección OCR: Almirante Latorre 671, Arica. Ficha PDF p. 5.</t>
  </si>
  <si>
    <t>No es todavía una fuente digital; conservar como pista territorial.</t>
  </si>
  <si>
    <t>CL-FUE-0106</t>
  </si>
  <si>
    <t>Espacio Cultural Arganda</t>
  </si>
  <si>
    <t>Multidisciplinario (por clasificar)</t>
  </si>
  <si>
    <t>https://ciudadania.cultura.gob.cl/wp-content/uploads/2025/12/Directorio_Espacios-Culturales-2025_RC.pdf#page=6</t>
  </si>
  <si>
    <t>Dirección OCR: General Manuel Baquedano 25, Arica. Ficha PDF p. 6.</t>
  </si>
  <si>
    <t>CL-FUE-0107</t>
  </si>
  <si>
    <t>Biblioteca Publica Municipal Tarapaca Oriente</t>
  </si>
  <si>
    <t>Libro y lectura; Literatura</t>
  </si>
  <si>
    <t>https://ciudadania.cultura.gob.cl/wp-content/uploads/2025/12/Directorio_Espacios-Culturales-2025_RC.pdf#page=7</t>
  </si>
  <si>
    <t>Dirección OCR: Loa 2550, esquina Capitan Avalos, Arica. Ficha PDF p. 7.</t>
  </si>
  <si>
    <t>CL-FUE-0108</t>
  </si>
  <si>
    <t>iblioteca Alfredo Wormald Cruz</t>
  </si>
  <si>
    <t>Artes visuales; Interculturalidad; Libro y lectura; Patrimonio</t>
  </si>
  <si>
    <t>https://ciudadania.cultura.gob.cl/wp-content/uploads/2025/12/Directorio_Espacios-Culturales-2025_RC.pdf#page=8</t>
  </si>
  <si>
    <t>Dirección OCR: Baquedano 94, Arica. Ficha PDF p. 8.</t>
  </si>
  <si>
    <t>CL-FUE-0109</t>
  </si>
  <si>
    <t>Poblado Artesanal José Raul Naranjo Meneses</t>
  </si>
  <si>
    <t>Artesanía; Artes visuales; Patrimonio; Pueblos originarios</t>
  </si>
  <si>
    <t>https://ciudadania.cultura.gob.cl/wp-content/uploads/2025/12/Directorio_Espacios-Culturales-2025_RC.pdf#page=9</t>
  </si>
  <si>
    <t>Dirección OCR: Hualles 2825, Arica. Ficha PDF p. 9.</t>
  </si>
  <si>
    <t>CL-FUE-0110</t>
  </si>
  <si>
    <t>Mercado Central de Arica</t>
  </si>
  <si>
    <t>Artesanía; Pueblos originarios; Cultura comunitaria</t>
  </si>
  <si>
    <t>https://ciudadania.cultura.gob.cl/wp-content/uploads/2025/12/Directorio_Espacios-Culturales-2025_RC.pdf#page=10</t>
  </si>
  <si>
    <t>Dirección OCR: Sotomayor 340. Ficha PDF p. 10.</t>
  </si>
  <si>
    <t>CL-FUE-0111</t>
  </si>
  <si>
    <t>Parque de los Nifios y Nifias</t>
  </si>
  <si>
    <t>https://ciudadania.cultura.gob.cl/wp-content/uploads/2025/12/Directorio_Espacios-Culturales-2025_RC.pdf#page=11</t>
  </si>
  <si>
    <t>Dirección OCR: Avenida Chorrillos 3569, Arica. Ficha PDF p. 11.</t>
  </si>
  <si>
    <t>CL-FUE-0112</t>
  </si>
  <si>
    <t>Corporacién Cultural El Tren</t>
  </si>
  <si>
    <t>Artes escénicas; Artes visuales; Audiovisual; Memoria y DD.HH.; Patrimonio; Pueblos originarios; Cultura comunitaria</t>
  </si>
  <si>
    <t>https://ciudadania.cultura.gob.cl/wp-content/uploads/2025/12/Directorio_Espacios-Culturales-2025_RC.pdf#page=12</t>
  </si>
  <si>
    <t>Dirección OCR: Edmundo Pérez Zujovic 326, Arica. Ficha PDF p. 12.</t>
  </si>
  <si>
    <t>CL-FUE-0113</t>
  </si>
  <si>
    <t>Biblioteca Publica Municipal Los Industriales</t>
  </si>
  <si>
    <t>https://ciudadania.cultura.gob.cl/wp-content/uploads/2025/12/Directorio_Espacios-Culturales-2025_RC.pdf#page=13</t>
  </si>
  <si>
    <t>Dirección OCR: Pasaje Samo Alto 3347, Arica. Ficha PDF p. 13.</t>
  </si>
  <si>
    <t>CL-FUE-0114</t>
  </si>
  <si>
    <t>Galpsn Jiwasanaka Circo</t>
  </si>
  <si>
    <t>Artes escénicas; Circo</t>
  </si>
  <si>
    <t>https://ciudadania.cultura.gob.cl/wp-content/uploads/2025/12/Directorio_Espacios-Culturales-2025_RC.pdf#page=14</t>
  </si>
  <si>
    <t>Dirección OCR: Papudo 221, Cerro La Cruz, Arica. Ficha PDF p. 14.</t>
  </si>
  <si>
    <t>CL-FUE-0115</t>
  </si>
  <si>
    <t>Comunidad Indigena Marka Masi</t>
  </si>
  <si>
    <t>Artesanía; Música; Patrimonio; Pueblos originarios; Cultura comunitaria</t>
  </si>
  <si>
    <t>https://ciudadania.cultura.gob.cl/wp-content/uploads/2025/12/Directorio_Espacios-Culturales-2025_RC.pdf#page=15</t>
  </si>
  <si>
    <t>Dirección OCR: Camino al vertedero s/n, Arica. Ficha PDF p. 15.</t>
  </si>
  <si>
    <t>CL-FUE-0116</t>
  </si>
  <si>
    <t>Teatro Municipal Pedro Ariel Olea</t>
  </si>
  <si>
    <t>Artes escénicas; Artes visuales; Audiovisual; Memoria y DD.HH.; Pueblos originarios; Teatro</t>
  </si>
  <si>
    <t>https://ciudadania.cultura.gob.cl/wp-content/uploads/2025/12/Directorio_Espacios-Culturales-2025_RC.pdf#page=16</t>
  </si>
  <si>
    <t>Dirección OCR: Baquedano 234, Arica. Ficha PDF p. 16.</t>
  </si>
  <si>
    <t>CL-FUE-0117</t>
  </si>
  <si>
    <t>Casa de la Cultura Alfredo Raiteri Cortés /</t>
  </si>
  <si>
    <t>Artesanía; Artes escénicas; Artes visuales; Educación artística; Pueblos originarios; Cultura comunitaria</t>
  </si>
  <si>
    <t>https://ciudadania.cultura.gob.cl/wp-content/uploads/2025/12/Directorio_Espacios-Culturales-2025_RC.pdf#page=17</t>
  </si>
  <si>
    <t>Dirección OCR: Plaza Baquedano s/n, Arica. Ficha PDF p. 17.</t>
  </si>
  <si>
    <t>CL-FUE-0118</t>
  </si>
  <si>
    <t>Cine Municipal de Arica</t>
  </si>
  <si>
    <t>Artes visuales; Audiovisual; Educación artística</t>
  </si>
  <si>
    <t>https://ciudadania.cultura.gob.cl/wp-content/uploads/2025/12/Directorio_Espacios-Culturales-2025_RC.pdf#page=18</t>
  </si>
  <si>
    <t>Dirección OCR: 7 de junio 190, Arica. Ficha PDF p. 18.</t>
  </si>
  <si>
    <t>CL-FUE-0119</t>
  </si>
  <si>
    <t>Centro de Artes Culturales y Escénicas</t>
  </si>
  <si>
    <t>Pozo Almonte</t>
  </si>
  <si>
    <t>https://ciudadania.cultura.gob.cl/wp-content/uploads/2025/12/Directorio_Espacios-Culturales-2025_RC.pdf#page=19</t>
  </si>
  <si>
    <t>Dirección OCR: Estacién 211, Pozo Almonte. Ficha PDF p. 19.</t>
  </si>
  <si>
    <t>CL-FUE-0120</t>
  </si>
  <si>
    <t>Semillarbol Centro Cultural</t>
  </si>
  <si>
    <t>https://ciudadania.cultura.gob.cl/wp-content/uploads/2025/12/Directorio_Espacios-Culturales-2025_RC.pdf#page=20</t>
  </si>
  <si>
    <t>Dirección OCR: general J. Ficha PDF p. 20.</t>
  </si>
  <si>
    <t>CL-FUE-0121</t>
  </si>
  <si>
    <t>Colectiva Awicha Pacha</t>
  </si>
  <si>
    <t>https://ciudadania.cultura.gob.cl/wp-content/uploads/2025/12/Directorio_Espacios-Culturales-2025_RC.pdf#page=21</t>
  </si>
  <si>
    <t>Dirección OCR: Buen Retiro con Circunvalacién s/n, Pozo Almonte. Ficha PDF p. 21.</t>
  </si>
  <si>
    <t>CL-FUE-0122</t>
  </si>
  <si>
    <t>Espacio Akana</t>
  </si>
  <si>
    <t>https://ciudadania.cultura.gob.cl/wp-content/uploads/2025/12/Directorio_Espacios-Culturales-2025_RC.pdf#page=22</t>
  </si>
  <si>
    <t>Dirección OCR: Vivar 1342, Iquique. Ficha PDF p. 22.</t>
  </si>
  <si>
    <t>CL-FUE-0123</t>
  </si>
  <si>
    <t>Centro Cultural y Social Estacion Iquique</t>
  </si>
  <si>
    <t>Danza; Música; Teatro</t>
  </si>
  <si>
    <t>https://ciudadania.cultura.gob.cl/wp-content/uploads/2025/12/Directorio_Espacios-Culturales-2025_RC.pdf#page=23</t>
  </si>
  <si>
    <t>Dirección OCR: Genaro Gallo 830, Iquique. Ficha PDF p. 23.</t>
  </si>
  <si>
    <t>CL-FUE-0124</t>
  </si>
  <si>
    <t>Formarte Espacio Creativo</t>
  </si>
  <si>
    <t>https://ciudadania.cultura.gob.cl/wp-content/uploads/2025/12/Directorio_Espacios-Culturales-2025_RC.pdf#page=24</t>
  </si>
  <si>
    <t>Dirección OCR: Pasaje Santa Maria 1835, Iquique. Ficha PDF p. 24.</t>
  </si>
  <si>
    <t>CL-FUE-0125</t>
  </si>
  <si>
    <t>Centro Cultural La Inclusive</t>
  </si>
  <si>
    <t>Educación artística</t>
  </si>
  <si>
    <t>https://ciudadania.cultura.gob.cl/wp-content/uploads/2025/12/Directorio_Espacios-Culturales-2025_RC.pdf#page=25</t>
  </si>
  <si>
    <t>Dirección OCR: Baquedano 951, Iquique. Ficha PDF p. 25.</t>
  </si>
  <si>
    <t>CL-FUE-0126</t>
  </si>
  <si>
    <t>Casa de Oficios</t>
  </si>
  <si>
    <t>Artesanía</t>
  </si>
  <si>
    <t>https://ciudadania.cultura.gob.cl/wp-content/uploads/2025/12/Directorio_Espacios-Culturales-2025_RC.pdf#page=26</t>
  </si>
  <si>
    <t>Dirección OCR: Obispo Labbé 780, Iquique. Ficha PDF p. 26.</t>
  </si>
  <si>
    <t>CL-FUE-0127</t>
  </si>
  <si>
    <t>Centro Social Cultural</t>
  </si>
  <si>
    <t>Danza</t>
  </si>
  <si>
    <t>https://ciudadania.cultura.gob.cl/wp-content/uploads/2025/12/Directorio_Espacios-Culturales-2025_RC.pdf#page=27</t>
  </si>
  <si>
    <t>Dirección OCR: Rancagua 3254, Iquique. Ficha PDF p. 27.</t>
  </si>
  <si>
    <t>CL-FUE-0128</t>
  </si>
  <si>
    <t>Centro Cultural Atmadarshan</t>
  </si>
  <si>
    <t>https://ciudadania.cultura.gob.cl/wp-content/uploads/2025/12/Directorio_Espacios-Culturales-2025_RC.pdf#page=28</t>
  </si>
  <si>
    <t>Dirección OCR: Las Amapolas 2680, Iquique. Ficha PDF p. 28.</t>
  </si>
  <si>
    <t>CL-FUE-0129</t>
  </si>
  <si>
    <t>Centro Cultural de Alto Hospicio</t>
  </si>
  <si>
    <t>Alto Hospicio</t>
  </si>
  <si>
    <t>https://ciudadania.cultura.gob.cl/wp-content/uploads/2025/12/Directorio_Espacios-Culturales-2025_RC.pdf#page=29</t>
  </si>
  <si>
    <t>Dirección OCR: Los Tamarugos 3031, Alto Hospicio. Ficha PDF p. 29.</t>
  </si>
  <si>
    <t>CL-FUE-0130</t>
  </si>
  <si>
    <t>Estudio OF</t>
  </si>
  <si>
    <t>https://ciudadania.cultura.gob.cl/wp-content/uploads/2025/12/Directorio_Espacios-Culturales-2025_RC.pdf#page=30</t>
  </si>
  <si>
    <t>Dirección OCR: Serrano 145, of. 304, Iquique. Ficha PDF p. 30.</t>
  </si>
  <si>
    <t>CL-FUE-0131</t>
  </si>
  <si>
    <t>Casa Municipal de la Cultura</t>
  </si>
  <si>
    <t>https://ciudadania.cultura.gob.cl/wp-content/uploads/2025/12/Directorio_Espacios-Culturales-2025_RC.pdf#page=31</t>
  </si>
  <si>
    <t>Dirección OCR: Baquedano 789, Iquique. Ficha PDF p. 31.</t>
  </si>
  <si>
    <t>CL-FUE-0132</t>
  </si>
  <si>
    <t>Museo de Mejillones Raul Mavrakis Morales</t>
  </si>
  <si>
    <t>Mejillones</t>
  </si>
  <si>
    <t>https://ciudadania.cultura.gob.cl/wp-content/uploads/2025/12/Directorio_Espacios-Culturales-2025_RC.pdf#page=32</t>
  </si>
  <si>
    <t>Dirección OCR: Francisco Antonio Pinto 110, Mejillones. Ficha PDF p. 32.</t>
  </si>
  <si>
    <t>CL-FUE-0133</t>
  </si>
  <si>
    <t>Teatro Municipal Jaime Guerra Yanez</t>
  </si>
  <si>
    <t>Maria Elena</t>
  </si>
  <si>
    <t>Artes escénicas; Audiovisual; Educación artística; Memoria y DD.HH.; Patrimonio; Cultura comunitaria; Teatro</t>
  </si>
  <si>
    <t>https://ciudadania.cultura.gob.cl/wp-content/uploads/2025/12/Directorio_Espacios-Culturales-2025_RC.pdf#page=33</t>
  </si>
  <si>
    <t>Dirección OCR: Ignacio Carrera Pinto s/n, Maria Elena. Ficha PDF p. 33.</t>
  </si>
  <si>
    <t>CL-FUE-0134</t>
  </si>
  <si>
    <t>Teatro Municipal de Mejillones</t>
  </si>
  <si>
    <t>https://ciudadania.cultura.gob.cl/wp-content/uploads/2025/12/Directorio_Espacios-Culturales-2025_RC.pdf#page=34</t>
  </si>
  <si>
    <t>Dirección OCR: Gofii 274, Mejillones. Ficha PDF p. 34.</t>
  </si>
  <si>
    <t>CL-FUE-0135</t>
  </si>
  <si>
    <t>Fundacidn de Cultura de San Pedro de Atacama</t>
  </si>
  <si>
    <t>Artesanía; Artes escénicas; Educación artística; Patrimonio; Cultura comunitaria</t>
  </si>
  <si>
    <t>https://ciudadania.cultura.gob.cl/wp-content/uploads/2025/12/Directorio_Espacios-Culturales-2025_RC.pdf#page=35</t>
  </si>
  <si>
    <t>Dirección OCR: Calle Tumisa 620, San Pedro de Atacama. Ficha PDF p. 35.</t>
  </si>
  <si>
    <t>CL-FUE-0136</t>
  </si>
  <si>
    <t>Artesanía; Artes escénicas; Artes visuales; Audiovisual; Educación artística; Interculturalidad</t>
  </si>
  <si>
    <t>https://ciudadania.cultura.gob.cl/wp-content/uploads/2025/12/Directorio_Espacios-Culturales-2025_RC.pdf#page=36</t>
  </si>
  <si>
    <t>Dirección OCR: Francisco Antonio Pinto 110, Mejillones. Ficha PDF p. 36. Posible ficha duplicada o recinto compartido; revisar antes de crear una fuente independiente.</t>
  </si>
  <si>
    <t>CL-FUE-0137</t>
  </si>
  <si>
    <t>Artes escénicas; Interculturalidad; Pueblos originarios; Teatro</t>
  </si>
  <si>
    <t>https://ciudadania.cultura.gob.cl/wp-content/uploads/2025/12/Directorio_Espacios-Culturales-2025_RC.pdf#page=37</t>
  </si>
  <si>
    <t>Dirección OCR: Gofii 274, Mejillones. Ficha PDF p. 37. Posible ficha duplicada o recinto compartido; revisar antes de crear una fuente independiente.</t>
  </si>
  <si>
    <t>CL-FUE-0138</t>
  </si>
  <si>
    <t>Teatro Municipal Jaime Guerra Yahez</t>
  </si>
  <si>
    <t>Artes escénicas; Audiovisual; Patrimonio; Cultura comunitaria; Teatro</t>
  </si>
  <si>
    <t>https://ciudadania.cultura.gob.cl/wp-content/uploads/2025/12/Directorio_Espacios-Culturales-2025_RC.pdf#page=38</t>
  </si>
  <si>
    <t>Dirección OCR: Ignacio Carrera Pinto s/n, Maria Elena. Ficha PDF p. 38. Posible ficha duplicada o recinto compartido; revisar antes de crear una fuente independiente.</t>
  </si>
  <si>
    <t>CL-FUE-0139</t>
  </si>
  <si>
    <t>Centro San Pedro Atacama</t>
  </si>
  <si>
    <t>Artesanía; Artes escénicas; Educación artística; Interculturalidad; Música; Patrimonio</t>
  </si>
  <si>
    <t>https://ciudadania.cultura.gob.cl/wp-content/uploads/2025/12/Directorio_Espacios-Culturales-2025_RC.pdf#page=39</t>
  </si>
  <si>
    <t>Dirección OCR: Calle Tumisa 620, San Pedro de Atacama. Ficha PDF p. 39. Posible ficha duplicada o recinto compartido; revisar antes de crear una fuente independiente.</t>
  </si>
  <si>
    <t>CL-FUE-0140</t>
  </si>
  <si>
    <t>Centro Cultural Jeronimo Godoy</t>
  </si>
  <si>
    <t>Alto del Carmen</t>
  </si>
  <si>
    <t>Patrimonio</t>
  </si>
  <si>
    <t>https://ciudadania.cultura.gob.cl/wp-content/uploads/2025/12/Directorio_Espacios-Culturales-2025_RC.pdf#page=40</t>
  </si>
  <si>
    <t>Dirección OCR: Padre Alonso Garcia s/n, Alto del Carmen. Ficha PDF p. 40.</t>
  </si>
  <si>
    <t>CL-FUE-0141</t>
  </si>
  <si>
    <t>arte pin</t>
  </si>
  <si>
    <t>Bahia Inglesa</t>
  </si>
  <si>
    <t>https://ciudadania.cultura.gob.cl/wp-content/uploads/2025/12/Directorio_Espacios-Culturales-2025_RC.pdf#page=41</t>
  </si>
  <si>
    <t>Dirección OCR: Av. Punta Pescadores 1400, Bahia Inglesa. Ficha PDF p. 41.</t>
  </si>
  <si>
    <t>CL-FUE-0142</t>
  </si>
  <si>
    <t>Ilustre Municipalidad de Tierra Amarilla</t>
  </si>
  <si>
    <t>Tierra Amarilla</t>
  </si>
  <si>
    <t>https://ciudadania.cultura.gob.cl/wp-content/uploads/2025/12/Directorio_Espacios-Culturales-2025_RC.pdf#page=42</t>
  </si>
  <si>
    <t>Dirección OCR: Avenida Miguel Lemeur 544, Tierra Amarilla. Ficha PDF p. 42.</t>
  </si>
  <si>
    <t>CL-FUE-0143</t>
  </si>
  <si>
    <t>Centro de Extension Cultural</t>
  </si>
  <si>
    <t>Copiapd</t>
  </si>
  <si>
    <t>https://ciudadania.cultura.gob.cl/wp-content/uploads/2025/12/Directorio_Espacios-Culturales-2025_RC.pdf#page=43</t>
  </si>
  <si>
    <t>Dirección OCR: O Higgins 140, Copiapd. Ficha PDF p. 43.</t>
  </si>
  <si>
    <t>CL-FUE-0144</t>
  </si>
  <si>
    <t>Factoria Némade</t>
  </si>
  <si>
    <t>Caldera</t>
  </si>
  <si>
    <t>https://ciudadania.cultura.gob.cl/wp-content/uploads/2025/12/Directorio_Espacios-Culturales-2025_RC.pdf#page=44</t>
  </si>
  <si>
    <t>Dirección OCR: Cousifio 325, 2° piso, Caldera. Ficha PDF p. 44.</t>
  </si>
  <si>
    <t>CL-FUE-0145</t>
  </si>
  <si>
    <t>Caja Crisol</t>
  </si>
  <si>
    <t>Copiapé</t>
  </si>
  <si>
    <t>Artes visuales</t>
  </si>
  <si>
    <t>https://ciudadania.cultura.gob.cl/wp-content/uploads/2025/12/Directorio_Espacios-Culturales-2025_RC.pdf#page=45</t>
  </si>
  <si>
    <t>Dirección OCR: Maipii 836, Copiapé. Ficha PDF p. 45.</t>
  </si>
  <si>
    <t>CL-FUE-0146</t>
  </si>
  <si>
    <t>Estacion Cultural Pueblo Hundido</t>
  </si>
  <si>
    <t>Diego de Almagro</t>
  </si>
  <si>
    <t>https://ciudadania.cultura.gob.cl/wp-content/uploads/2025/12/Directorio_Espacios-Culturales-2025_RC.pdf#page=46</t>
  </si>
  <si>
    <t>Dirección OCR: Juan Martinez 1103, Diego de Almagro. Ficha PDF p. 46.</t>
  </si>
  <si>
    <t>CL-FUE-0147</t>
  </si>
  <si>
    <t>entro Cultural Atacama</t>
  </si>
  <si>
    <t>https://ciudadania.cultura.gob.cl/wp-content/uploads/2025/12/Directorio_Espacios-Culturales-2025_RC.pdf#page=47</t>
  </si>
  <si>
    <t>Dirección OCR: Alameda Manuel Antonio Matta 290, Copiapé. Ficha PDF p. 47.</t>
  </si>
  <si>
    <t>CL-FUE-0148</t>
  </si>
  <si>
    <t>Centro Cultural Ser Humano</t>
  </si>
  <si>
    <t>Centro Copiapé</t>
  </si>
  <si>
    <t>https://ciudadania.cultura.gob.cl/wp-content/uploads/2025/12/Directorio_Espacios-Culturales-2025_RC.pdf#page=48</t>
  </si>
  <si>
    <t>Dirección OCR: Chacabuco 671, Centro Copiapé. Ficha PDF p. 48.</t>
  </si>
  <si>
    <t>CL-FUE-0149</t>
  </si>
  <si>
    <t>Artes escénicas; Teatro</t>
  </si>
  <si>
    <t>https://ciudadania.cultura.gob.cl/wp-content/uploads/2025/12/Directorio_Espacios-Culturales-2025_RC.pdf#page=50</t>
  </si>
  <si>
    <t>Dirección OCR: Carmen 252, Ovalle. Ficha PDF p. 50.</t>
  </si>
  <si>
    <t>CL-FUE-0150</t>
  </si>
  <si>
    <t>Centro Cuttural Palace</t>
  </si>
  <si>
    <t>Artes escénicas; Patrimonio</t>
  </si>
  <si>
    <t>https://ciudadania.cultura.gob.cl/wp-content/uploads/2025/12/Directorio_Espacios-Culturales-2025_RC.pdf#page=51</t>
  </si>
  <si>
    <t>Dirección OCR: José Santiago Aldunate 599, Barrio Inglés, Coquimbo. Ficha PDF p. 51.</t>
  </si>
  <si>
    <t>CL-FUE-0151</t>
  </si>
  <si>
    <t>Centro de Difusién Patrimonial de Rio Hurtado</t>
  </si>
  <si>
    <t>https://ciudadania.cultura.gob.cl/wp-content/uploads/2025/12/Directorio_Espacios-Culturales-2025_RC.pdf#page=52</t>
  </si>
  <si>
    <t>Dirección OCR: no reconocida. Ficha PDF p. 52.</t>
  </si>
  <si>
    <t>CL-FUE-0152</t>
  </si>
  <si>
    <t>Casa de las Palmeras Gabriela Mistral</t>
  </si>
  <si>
    <t>https://ciudadania.cultura.gob.cl/wp-content/uploads/2025/12/Directorio_Espacios-Culturales-2025_RC.pdf#page=53</t>
  </si>
  <si>
    <t>Dirección OCR: Av. Francisco de Aguirre 0300, La Serena. Ficha PDF p. 53.</t>
  </si>
  <si>
    <t>CL-FUE-0153</t>
  </si>
  <si>
    <t>Casa de la Cultura de Las Compafiias</t>
  </si>
  <si>
    <t>https://ciudadania.cultura.gob.cl/wp-content/uploads/2025/12/Directorio_Espacios-Culturales-2025_RC.pdf#page=54</t>
  </si>
  <si>
    <t>Dirección OCR: Alcalde Bernardo Pefia 4801, La Serena. Ficha PDF p. 54.</t>
  </si>
  <si>
    <t>CL-FUE-0154</t>
  </si>
  <si>
    <t>Centro Cultural Ex Iglesia Santa Inés</t>
  </si>
  <si>
    <t>https://ciudadania.cultura.gob.cl/wp-content/uploads/2025/12/Directorio_Espacios-Culturales-2025_RC.pdf#page=55</t>
  </si>
  <si>
    <t>Dirección OCR: Calle Diego de Almagro 282, La Serena. Ficha PDF p. 55.</t>
  </si>
  <si>
    <t>CL-FUE-0155</t>
  </si>
  <si>
    <t>Centro Cultural Blas Alarcén</t>
  </si>
  <si>
    <t>Los Vilos</t>
  </si>
  <si>
    <t>https://ciudadania.cultura.gob.cl/wp-content/uploads/2025/12/Directorio_Espacios-Culturales-2025_RC.pdf#page=56</t>
  </si>
  <si>
    <t>Dirección OCR: Ay. Salvador Allende 1413, Los Vilos. Ficha PDF p. 56.</t>
  </si>
  <si>
    <t>CL-FUE-0156</t>
  </si>
  <si>
    <t>Casa de Ja Cultura de Illapel</t>
  </si>
  <si>
    <t>Illapel</t>
  </si>
  <si>
    <t>Memoria y DD.HH.</t>
  </si>
  <si>
    <t>https://ciudadania.cultura.gob.cl/wp-content/uploads/2025/12/Directorio_Espacios-Culturales-2025_RC.pdf#page=57</t>
  </si>
  <si>
    <t>Dirección OCR: O'Higgins 280, Illapel. Ficha PDF p. 57.</t>
  </si>
  <si>
    <t>CL-FUE-0157</t>
  </si>
  <si>
    <t>Biblioteca Publica Municipal de Altovalsol</t>
  </si>
  <si>
    <t>Altovalsol</t>
  </si>
  <si>
    <t>https://ciudadania.cultura.gob.cl/wp-content/uploads/2025/12/Directorio_Espacios-Culturales-2025_RC.pdf#page=58</t>
  </si>
  <si>
    <t>Dirección OCR: Ramén Toro Gertosio s/n, Altovalsol. Ficha PDF p. 58.</t>
  </si>
  <si>
    <t>CL-FUE-0158</t>
  </si>
  <si>
    <t>Casa de las Artes Rural Lucila Godoy Alcayaga</t>
  </si>
  <si>
    <t>Memoria y DD.HH.; Patrimonio</t>
  </si>
  <si>
    <t>https://ciudadania.cultura.gob.cl/wp-content/uploads/2025/12/Directorio_Espacios-Culturales-2025_RC.pdf#page=59</t>
  </si>
  <si>
    <t>Dirección OCR: Av. La Cantera 1951, Coquimbo. Ficha PDF p. 59.</t>
  </si>
  <si>
    <t>CL-FUE-0159</t>
  </si>
  <si>
    <t>Biblioteca Municipal Alonso de Ercilla y Zuniga</t>
  </si>
  <si>
    <t>https://ciudadania.cultura.gob.cl/wp-content/uploads/2025/12/Directorio_Espacios-Culturales-2025_RC.pdf#page=60</t>
  </si>
  <si>
    <t>Dirección OCR: Los Carreras 135, La Serena. Ficha PDF p. 60.</t>
  </si>
  <si>
    <t>CL-FUE-0160</t>
  </si>
  <si>
    <t>Centro Cultural Municipal Huayquilonko</t>
  </si>
  <si>
    <t>Monte Patria</t>
  </si>
  <si>
    <t>https://ciudadania.cultura.gob.cl/wp-content/uploads/2025/12/Directorio_Espacios-Culturales-2025_RC.pdf#page=61</t>
  </si>
  <si>
    <t>Dirección OCR: Calle Ponio s/n, Monte Patria. Ficha PDF p. 61.</t>
  </si>
  <si>
    <t>CL-FUE-0161</t>
  </si>
  <si>
    <t>Casa Encuentro Ciudadano</t>
  </si>
  <si>
    <t>Andacollo</t>
  </si>
  <si>
    <t>Artes escénicas; Artes visuales</t>
  </si>
  <si>
    <t>https://ciudadania.cultura.gob.cl/wp-content/uploads/2025/12/Directorio_Espacios-Culturales-2025_RC.pdf#page=62</t>
  </si>
  <si>
    <t>Dirección OCR: Urmeneta 599, Andacollo. Ficha PDF p. 62.</t>
  </si>
  <si>
    <t>CL-FUE-0162</t>
  </si>
  <si>
    <t>Casa de la Cultura Punitaqui</t>
  </si>
  <si>
    <t>Punitaqui</t>
  </si>
  <si>
    <t>https://ciudadania.cultura.gob.cl/wp-content/uploads/2025/12/Directorio_Espacios-Culturales-2025_RC.pdf#page=63</t>
  </si>
  <si>
    <t>Dirección OCR: Caupolican 1123, Punitaqui. Ficha PDF p. 63.</t>
  </si>
  <si>
    <t>CL-FUE-0163</t>
  </si>
  <si>
    <t>Centro de Extension Cultural Municipal de Ovalle</t>
  </si>
  <si>
    <t>https://ciudadania.cultura.gob.cl/wp-content/uploads/2025/12/Directorio_Espacios-Culturales-2025_RC.pdf#page=64</t>
  </si>
  <si>
    <t>Dirección OCR: Independencia 479, Ovalle. Ficha PDF p. 64.</t>
  </si>
  <si>
    <t>CL-FUE-0164</t>
  </si>
  <si>
    <t>https://ciudadania.cultura.gob.cl/wp-content/uploads/2025/12/Directorio_Espacios-Culturales-2025_RC.pdf#page=65</t>
  </si>
  <si>
    <t>Dirección OCR: Benavente 580, La Serena. Ficha PDF p. 65.</t>
  </si>
  <si>
    <t>CL-FUE-0165</t>
  </si>
  <si>
    <t>Casa de las Artes de Coquimbo</t>
  </si>
  <si>
    <t>https://ciudadania.cultura.gob.cl/wp-content/uploads/2025/12/Directorio_Espacios-Culturales-2025_RC.pdf#page=66</t>
  </si>
  <si>
    <t>Dirección OCR: José Santiago Aldunate 699, Coquimbo. Ficha PDF p. 66.</t>
  </si>
  <si>
    <t>CL-FUE-0166</t>
  </si>
  <si>
    <t>Espacio cultural (ficha 67)</t>
  </si>
  <si>
    <t>El Tabo</t>
  </si>
  <si>
    <t>https://ciudadania.cultura.gob.cl/wp-content/uploads/2025/12/Directorio_Espacios-Culturales-2025_RC.pdf#page=67</t>
  </si>
  <si>
    <t>Dirección OCR: Poeta Jonds 85, El Tabo. Ficha PDF p. 67.</t>
  </si>
  <si>
    <t>CL-FUE-0167</t>
  </si>
  <si>
    <t>Centro Comunitario Las Cafias</t>
  </si>
  <si>
    <t>Valparatso</t>
  </si>
  <si>
    <t>https://ciudadania.cultura.gob.cl/wp-content/uploads/2025/12/Directorio_Espacios-Culturales-2025_RC.pdf#page=68</t>
  </si>
  <si>
    <t>Dirección OCR: Camino Uno 1115, C® Las Cafias, Valparatso. Ficha PDF p. 68.</t>
  </si>
  <si>
    <t>CL-FUE-0168</t>
  </si>
  <si>
    <t>Espacio cultural (ficha 69)</t>
  </si>
  <si>
    <t>Valparaiso</t>
  </si>
  <si>
    <t>https://ciudadania.cultura.gob.cl/wp-content/uploads/2025/12/Directorio_Espacios-Culturales-2025_RC.pdf#page=69</t>
  </si>
  <si>
    <t>Dirección OCR: Pje. Fisher 18 y 24, C° Concepcién, Valparaiso. Ficha PDF p. 69.</t>
  </si>
  <si>
    <t>CL-FUE-0169</t>
  </si>
  <si>
    <t>Espacio cultural (ficha 70)</t>
  </si>
  <si>
    <t>Algarrobo</t>
  </si>
  <si>
    <t>https://ciudadania.cultura.gob.cl/wp-content/uploads/2025/12/Directorio_Espacios-Culturales-2025_RC.pdf#page=70</t>
  </si>
  <si>
    <t>Dirección OCR: Av. Carlos Alessandri 1633, Algarrobo. Ficha PDF p. 70.</t>
  </si>
  <si>
    <t>CL-FUE-0170</t>
  </si>
  <si>
    <t>Centro Cultural IPA</t>
  </si>
  <si>
    <t>https://ciudadania.cultura.gob.cl/wp-content/uploads/2025/12/Directorio_Espacios-Culturales-2025_RC.pdf#page=71</t>
  </si>
  <si>
    <t>Dirección OCR: Condell 1349, Valparaiso. Ficha PDF p. 71.</t>
  </si>
  <si>
    <t>CL-FUE-0171</t>
  </si>
  <si>
    <t>Teatro Sala Pascal 79</t>
  </si>
  <si>
    <t>https://ciudadania.cultura.gob.cl/wp-content/uploads/2025/12/Directorio_Espacios-Culturales-2025_RC.pdf#page=72</t>
  </si>
  <si>
    <t>Dirección OCR: Pascal 79, Valparaiso. Ficha PDF p. 72.</t>
  </si>
  <si>
    <t>CL-FUE-0172</t>
  </si>
  <si>
    <t>Espacio cultural (ficha 73)</t>
  </si>
  <si>
    <t>https://ciudadania.cultura.gob.cl/wp-content/uploads/2025/12/Directorio_Espacios-Culturales-2025_RC.pdf#page=73</t>
  </si>
  <si>
    <t>Dirección OCR: Ay. Brasil 1647, Valparaiso. Ficha PDF p. 73.</t>
  </si>
  <si>
    <t>CL-FUE-0173</t>
  </si>
  <si>
    <t>Espacio cultural (ficha 74)</t>
  </si>
  <si>
    <t>https://ciudadania.cultura.gob.cl/wp-content/uploads/2025/12/Directorio_Espacios-Culturales-2025_RC.pdf#page=74</t>
  </si>
  <si>
    <t>Dirección OCR: Calle Buenos Aires 824, Valparaiso. Ficha PDF p. 74.</t>
  </si>
  <si>
    <t>CL-FUE-0174</t>
  </si>
  <si>
    <t>Camara Lucida</t>
  </si>
  <si>
    <t>https://ciudadania.cultura.gob.cl/wp-content/uploads/2025/12/Directorio_Espacios-Culturales-2025_RC.pdf#page=75</t>
  </si>
  <si>
    <t>Dirección OCR: Almirante Montt 44, Valparaiso. Ficha PDF p. 75.</t>
  </si>
  <si>
    <t>CL-FUE-0175</t>
  </si>
  <si>
    <t>Espacio cultural (ficha 76)</t>
  </si>
  <si>
    <t>https://ciudadania.cultura.gob.cl/wp-content/uploads/2025/12/Directorio_Espacios-Culturales-2025_RC.pdf#page=76</t>
  </si>
  <si>
    <t>Dirección OCR: Pasaje Gélvez 167, Valparaiso. Ficha PDF p. 76.</t>
  </si>
  <si>
    <t>CL-FUE-0176</t>
  </si>
  <si>
    <t>Parque Cultural de Valparaiso</t>
  </si>
  <si>
    <t>https://ciudadania.cultura.gob.cl/wp-content/uploads/2025/12/Directorio_Espacios-Culturales-2025_RC.pdf#page=77</t>
  </si>
  <si>
    <t>Dirección OCR: CArcel 471, C® Cércel, Valparaiso. Ficha PDF p. 77.</t>
  </si>
  <si>
    <t>CL-FUE-0177</t>
  </si>
  <si>
    <t>Museo y Centro Cultural</t>
  </si>
  <si>
    <t>https://ciudadania.cultura.gob.cl/wp-content/uploads/2025/12/Directorio_Espacios-Culturales-2025_RC.pdf#page=78</t>
  </si>
  <si>
    <t>Dirección OCR: ejecutivo ce J. Ficha PDF p. 78.</t>
  </si>
  <si>
    <t>CL-FUE-0178</t>
  </si>
  <si>
    <t>Centro Cultural Municipal</t>
  </si>
  <si>
    <t>Quillota</t>
  </si>
  <si>
    <t>https://ciudadania.cultura.gob.cl/wp-content/uploads/2025/12/Directorio_Espacios-Culturales-2025_RC.pdf#page=79</t>
  </si>
  <si>
    <t>Dirección OCR: Avenida 21 de Mayo 200, Quillota. Ficha PDF p. 79.</t>
  </si>
  <si>
    <t>CL-FUE-0179</t>
  </si>
  <si>
    <t>Teatro Museo del Titere y el Payaso</t>
  </si>
  <si>
    <t>https://ciudadania.cultura.gob.cl/wp-content/uploads/2025/12/Directorio_Espacios-Culturales-2025_RC.pdf#page=80</t>
  </si>
  <si>
    <t>Dirección OCR: Cumming 795, Valparaiso. Ficha PDF p. 80.</t>
  </si>
  <si>
    <t>CL-FUE-0180</t>
  </si>
  <si>
    <t>Espacio cultural (ficha 81)</t>
  </si>
  <si>
    <t>Santo Domingo</t>
  </si>
  <si>
    <t>https://ciudadania.cultura.gob.cl/wp-content/uploads/2025/12/Directorio_Espacios-Culturales-2025_RC.pdf#page=81</t>
  </si>
  <si>
    <t>Dirección OCR: Los Jazmines 29, Santo Domingo. Ficha PDF p. 81.</t>
  </si>
  <si>
    <t>CL-FUE-0181</t>
  </si>
  <si>
    <t>Saja de Arte Vifia del Mar</t>
  </si>
  <si>
    <t>Vifia Del Mar</t>
  </si>
  <si>
    <t>https://ciudadania.cultura.gob.cl/wp-content/uploads/2025/12/Directorio_Espacios-Culturales-2025_RC.pdf#page=82</t>
  </si>
  <si>
    <t>Dirección OCR: Arlegui 683, Vifia Del Mar. Ficha PDF p. 82.</t>
  </si>
  <si>
    <t>CL-FUE-0182</t>
  </si>
  <si>
    <t>Espacio cultural (ficha 83)</t>
  </si>
  <si>
    <t>El Quisco</t>
  </si>
  <si>
    <t>https://ciudadania.cultura.gob.cl/wp-content/uploads/2025/12/Directorio_Espacios-Culturales-2025_RC.pdf#page=83</t>
  </si>
  <si>
    <t>Dirección OCR: Isidoro Dubournais 2021, El Quisco. Ficha PDF p. 83.</t>
  </si>
  <si>
    <t>CL-FUE-0183</t>
  </si>
  <si>
    <t>Espacio La Compafiia</t>
  </si>
  <si>
    <t>Artes visuales; Educación artística</t>
  </si>
  <si>
    <t>https://ciudadania.cultura.gob.cl/wp-content/uploads/2025/12/Directorio_Espacios-Culturales-2025_RC.pdf#page=84</t>
  </si>
  <si>
    <t>Dirección OCR: Eusebio Lillo 409, Valparaiso. Ficha PDF p. 84.</t>
  </si>
  <si>
    <t>CL-FUE-0184</t>
  </si>
  <si>
    <t>Corporacion Municipal de Cultura y Turismo</t>
  </si>
  <si>
    <t>Quintero</t>
  </si>
  <si>
    <t>Interculturalidad; Patrimonio</t>
  </si>
  <si>
    <t>https://ciudadania.cultura.gob.cl/wp-content/uploads/2025/12/Directorio_Espacios-Culturales-2025_RC.pdf#page=85</t>
  </si>
  <si>
    <t>Dirección OCR: Av. Normandie 1780, Quintero. Ficha PDF p. 85.</t>
  </si>
  <si>
    <t>CL-FUE-0185</t>
  </si>
  <si>
    <t>Espacio cultural (ficha 86)</t>
  </si>
  <si>
    <t>https://ciudadania.cultura.gob.cl/wp-content/uploads/2025/12/Directorio_Espacios-Culturales-2025_RC.pdf#page=86</t>
  </si>
  <si>
    <t>Dirección OCR: Santa Isabel 739, Valparaiso. Ficha PDF p. 86.</t>
  </si>
  <si>
    <t>CL-FUE-0186</t>
  </si>
  <si>
    <t>Espacio cultural (ficha 87)</t>
  </si>
  <si>
    <t>https://ciudadania.cultura.gob.cl/wp-content/uploads/2025/12/Directorio_Espacios-Culturales-2025_RC.pdf#page=87</t>
  </si>
  <si>
    <t>Dirección OCR: Santa Inés 38, Valparaiso. Ficha PDF p. 87.</t>
  </si>
  <si>
    <t>CL-FUE-0187</t>
  </si>
  <si>
    <t>Espacio cultural (ficha 88)</t>
  </si>
  <si>
    <t>Conan</t>
  </si>
  <si>
    <t>https://ciudadania.cultura.gob.cl/wp-content/uploads/2025/12/Directorio_Espacios-Culturales-2025_RC.pdf#page=88</t>
  </si>
  <si>
    <t>Dirección OCR: Av. Concén Refiaca Oriente s/n esq Calle 11, Conan. Ficha PDF p. 88.</t>
  </si>
  <si>
    <t>CL-FUE-0188</t>
  </si>
  <si>
    <t>Espacio cultural (ficha 89)</t>
  </si>
  <si>
    <t>San Antonio</t>
  </si>
  <si>
    <t>https://ciudadania.cultura.gob.cl/wp-content/uploads/2025/12/Directorio_Espacios-Culturales-2025_RC.pdf#page=89</t>
  </si>
  <si>
    <t>Dirección OCR: Antofagasta 545, San Antonio. Ficha PDF p. 89.</t>
  </si>
  <si>
    <t>CL-FUE-0189</t>
  </si>
  <si>
    <t>Centro Cultural ATMA</t>
  </si>
  <si>
    <t>San Felipe</t>
  </si>
  <si>
    <t>https://ciudadania.cultura.gob.cl/wp-content/uploads/2025/12/Directorio_Espacios-Culturales-2025_RC.pdf#page=90</t>
  </si>
  <si>
    <t>Dirección OCR: Santo Domingo 27, San Felipe. Ficha PDF p. 90.</t>
  </si>
  <si>
    <t>CL-FUE-0190</t>
  </si>
  <si>
    <t>Villa Alemana</t>
  </si>
  <si>
    <t>https://ciudadania.cultura.gob.cl/wp-content/uploads/2025/12/Directorio_Espacios-Culturales-2025_RC.pdf#page=91</t>
  </si>
  <si>
    <t>Dirección OCR: Santiago 674, Villa Alemana. Ficha PDF p. 91.</t>
  </si>
  <si>
    <t>CL-FUE-0191</t>
  </si>
  <si>
    <t>Centro Cultural de Los Andes</t>
  </si>
  <si>
    <t>Los Andes</t>
  </si>
  <si>
    <t>Artesanía; Artes escénicas; Audiovisual; Interculturalidad; Patrimonio</t>
  </si>
  <si>
    <t>https://ciudadania.cultura.gob.cl/wp-content/uploads/2025/12/Directorio_Espacios-Culturales-2025_RC.pdf#page=92</t>
  </si>
  <si>
    <t>Dirección OCR: Maipé 475, Los Andes. Ficha PDF p. 92.</t>
  </si>
  <si>
    <t>CL-FUE-0192</t>
  </si>
  <si>
    <t>Espacio cultural (ficha 93)</t>
  </si>
  <si>
    <t>https://ciudadania.cultura.gob.cl/wp-content/uploads/2025/12/Directorio_Espacios-Culturales-2025_RC.pdf#page=93</t>
  </si>
  <si>
    <t>Dirección OCR: Condell 1585, Valparaiso. Ficha PDF p. 93.</t>
  </si>
  <si>
    <t>CL-FUE-0193</t>
  </si>
  <si>
    <t>Galeria Municipal de Arte de</t>
  </si>
  <si>
    <t>https://ciudadania.cultura.gob.cl/wp-content/uploads/2025/12/Directorio_Espacios-Culturales-2025_RC.pdf#page=94</t>
  </si>
  <si>
    <t>Dirección OCR: de Desarrollo Cultural. Ficha PDF p. 94.</t>
  </si>
  <si>
    <t>CL-FUE-0194</t>
  </si>
  <si>
    <t>Teatro Municipal de Santa Maria</t>
  </si>
  <si>
    <t>Santa Maria</t>
  </si>
  <si>
    <t>https://ciudadania.cultura.gob.cl/wp-content/uploads/2025/12/Directorio_Espacios-Culturales-2025_RC.pdf#page=95</t>
  </si>
  <si>
    <t>Dirección OCR: Ignacio Carrera Pinto esq Carlos Zutiga, Santa Maria. Ficha PDF p. 95.</t>
  </si>
  <si>
    <t>CL-FUE-0195</t>
  </si>
  <si>
    <t>Sala de Arte Escénico</t>
  </si>
  <si>
    <t>https://ciudadania.cultura.gob.cl/wp-content/uploads/2025/12/Directorio_Espacios-Culturales-2025_RC.pdf#page=96</t>
  </si>
  <si>
    <t>Dirección OCR: Guillermo Gonzdlez de Hontaneda 855, Valparaiso. Ficha PDF p. 96.</t>
  </si>
  <si>
    <t>CL-FUE-0196</t>
  </si>
  <si>
    <t>Teatro Municipal Juan Bustos Ramirez</t>
  </si>
  <si>
    <t>Quilpué</t>
  </si>
  <si>
    <t>https://ciudadania.cultura.gob.cl/wp-content/uploads/2025/12/Directorio_Espacios-Culturales-2025_RC.pdf#page=97</t>
  </si>
  <si>
    <t>Dirección OCR: Anibal Pinto 634, Quilpué. Ficha PDF p. 97.</t>
  </si>
  <si>
    <t>CL-FUE-0197</t>
  </si>
  <si>
    <t>Balmaceda Arte Joven Sede Metropolitana</t>
  </si>
  <si>
    <t>https://ciudadania.cultura.gob.cl/wp-content/uploads/2025/12/Directorio_Espacios-Culturales-2025_RC.pdf#page=98</t>
  </si>
  <si>
    <t>Dirección OCR: Presidente Balmaceda 1215, Santiago. Ficha PDF p. 98.</t>
  </si>
  <si>
    <t>CL-FUE-0198</t>
  </si>
  <si>
    <t>Casa de las Culturas, las Artes y las Ciencias</t>
  </si>
  <si>
    <t>Cerro Navia</t>
  </si>
  <si>
    <t>https://ciudadania.cultura.gob.cl/wp-content/uploads/2025/12/Directorio_Espacios-Culturales-2025_RC.pdf#page=99</t>
  </si>
  <si>
    <t>Dirección OCR: Mapocho 7360, Cerro Navia. Ficha PDF p. 99.</t>
  </si>
  <si>
    <t>CL-FUE-0199</t>
  </si>
  <si>
    <t>Centro Cultural Espacio Matta</t>
  </si>
  <si>
    <t>https://ciudadania.cultura.gob.cl/wp-content/uploads/2025/12/Directorio_Espacios-Culturales-2025_RC.pdf#page=100</t>
  </si>
  <si>
    <t>Dirección OCR: Av. Santa Rosa 9014, La Granja. Ficha PDF p. 100.</t>
  </si>
  <si>
    <t>CL-FUE-0200</t>
  </si>
  <si>
    <t>Asociacion Gremial Red de Salas de Teatro AG</t>
  </si>
  <si>
    <t>Recoleta</t>
  </si>
  <si>
    <t>https://ciudadania.cultura.gob.cl/wp-content/uploads/2025/12/Directorio_Espacios-Culturales-2025_RC.pdf#page=101</t>
  </si>
  <si>
    <t>Dirección OCR: Ernesto Pinto Lagarrigue 131, Recoleta. Ficha PDF p. 101.</t>
  </si>
  <si>
    <t>CL-FUE-0201</t>
  </si>
  <si>
    <t>Espacio cultural (ficha 102)</t>
  </si>
  <si>
    <t>La Florida</t>
  </si>
  <si>
    <t>Audiovisual</t>
  </si>
  <si>
    <t>https://ciudadania.cultura.gob.cl/wp-content/uploads/2025/12/Directorio_Espacios-Culturales-2025_RC.pdf#page=102</t>
  </si>
  <si>
    <t>Dirección OCR: Estados Unidos 8741, La Florida. Ficha PDF p. 102.</t>
  </si>
  <si>
    <t>CL-FUE-0202</t>
  </si>
  <si>
    <t>Centro Cultural La Casona de La Florida</t>
  </si>
  <si>
    <t>https://ciudadania.cultura.gob.cl/wp-content/uploads/2025/12/Directorio_Espacios-Culturales-2025_RC.pdf#page=103</t>
  </si>
  <si>
    <t>Dirección OCR: Walker Martinez 1345, La Florida. Ficha PDF p. 103.</t>
  </si>
  <si>
    <t>CL-FUE-0203</t>
  </si>
  <si>
    <t>Espacio cultural (ficha 104)</t>
  </si>
  <si>
    <t>https://ciudadania.cultura.gob.cl/wp-content/uploads/2025/12/Directorio_Espacios-Culturales-2025_RC.pdf#page=104</t>
  </si>
  <si>
    <t>Dirección OCR: San Cristébal 508, Recoleta. Ficha PDF p. 104.</t>
  </si>
  <si>
    <t>CL-FUE-0204</t>
  </si>
  <si>
    <t>Sala K</t>
  </si>
  <si>
    <t>https://ciudadania.cultura.gob.cl/wp-content/uploads/2025/12/Directorio_Espacios-Culturales-2025_RC.pdf#page=105</t>
  </si>
  <si>
    <t>Dirección OCR: Marin 321, Santiago. Ficha PDF p. 105.</t>
  </si>
  <si>
    <t>CL-FUE-0205</t>
  </si>
  <si>
    <t>Corporacién Arteduca</t>
  </si>
  <si>
    <t>https://ciudadania.cultura.gob.cl/wp-content/uploads/2025/12/Directorio_Espacios-Culturales-2025_RC.pdf#page=106</t>
  </si>
  <si>
    <t>Dirección OCR: ‘Avda. Espafia 502, Santiago. Ficha PDF p. 106.</t>
  </si>
  <si>
    <t>CL-FUE-0206</t>
  </si>
  <si>
    <t>Corporacién Municipal de Cultura de San Joaguin</t>
  </si>
  <si>
    <t>San Joaquin</t>
  </si>
  <si>
    <t>https://ciudadania.cultura.gob.cl/wp-content/uploads/2025/12/Directorio_Espacios-Culturales-2025_RC.pdf#page=107</t>
  </si>
  <si>
    <t>Dirección OCR: Cofiimo 286, San Joaquin. Ficha PDF p. 107.</t>
  </si>
  <si>
    <t>CL-FUE-0207</t>
  </si>
  <si>
    <t>Pefialolén</t>
  </si>
  <si>
    <t>https://ciudadania.cultura.gob.cl/wp-content/uploads/2025/12/Directorio_Espacios-Culturales-2025_RC.pdf#page=108</t>
  </si>
  <si>
    <t>Dirección OCR: Avenida Grecia 8787, Pefialolén. Ficha PDF p. 108.</t>
  </si>
  <si>
    <t>CL-FUE-0208</t>
  </si>
  <si>
    <t>https://ciudadania.cultura.gob.cl/wp-content/uploads/2025/12/Directorio_Espacios-Culturales-2025_RC.pdf#page=109</t>
  </si>
  <si>
    <t>Dirección OCR: Arturo Prat 33, Santiago. Ficha PDF p. 109.</t>
  </si>
  <si>
    <t>CL-FUE-0209</t>
  </si>
  <si>
    <t>Centro Cultural de Paine</t>
  </si>
  <si>
    <t>Paine</t>
  </si>
  <si>
    <t>Artes escénicas; Artes visuales; Música; Patrimonio</t>
  </si>
  <si>
    <t>https://ciudadania.cultura.gob.cl/wp-content/uploads/2025/12/Directorio_Espacios-Culturales-2025_RC.pdf#page=110</t>
  </si>
  <si>
    <t>Dirección OCR: ‘Av. 18 de septiembre 39, Paine. Ficha PDF p. 110.</t>
  </si>
  <si>
    <t>CL-FUE-0210</t>
  </si>
  <si>
    <t>Centro Cultural Pumanque</t>
  </si>
  <si>
    <t>Pumanque</t>
  </si>
  <si>
    <t>https://ciudadania.cultura.gob.cl/wp-content/uploads/2025/12/Directorio_Espacios-Culturales-2025_RC.pdf#page=111</t>
  </si>
  <si>
    <t>Dirección OCR: ‘Av. Manuel Rodriguez s/n, Pumanque. Ficha PDF p. 111.</t>
  </si>
  <si>
    <t>CL-FUE-0211</t>
  </si>
  <si>
    <t>Centro Cultural La Casona</t>
  </si>
  <si>
    <t>Nancagua</t>
  </si>
  <si>
    <t>https://ciudadania.cultura.gob.cl/wp-content/uploads/2025/12/Directorio_Espacios-Culturales-2025_RC.pdf#page=112</t>
  </si>
  <si>
    <t>Dirección OCR: ‘Av. Armando Jaramillo 21, Nancagua. Ficha PDF p. 112.</t>
  </si>
  <si>
    <t>CL-FUE-0212</t>
  </si>
  <si>
    <t>Casona Cultural de Pichidegua</t>
  </si>
  <si>
    <t>Pichidegua</t>
  </si>
  <si>
    <t>https://ciudadania.cultura.gob.cl/wp-content/uploads/2025/12/Directorio_Espacios-Culturales-2025_RC.pdf#page=113</t>
  </si>
  <si>
    <t>Dirección OCR: Av. Independencia 579, Pichidegua. Ficha PDF p. 113.</t>
  </si>
  <si>
    <t>CL-FUE-0213</t>
  </si>
  <si>
    <t>Teatro Municipal de Peumo</t>
  </si>
  <si>
    <t>Peumo</t>
  </si>
  <si>
    <t>Patrimonio; Teatro</t>
  </si>
  <si>
    <t>https://ciudadania.cultura.gob.cl/wp-content/uploads/2025/12/Directorio_Espacios-Culturales-2025_RC.pdf#page=114</t>
  </si>
  <si>
    <t>Dirección OCR: Balmaceda 5, Peumo. Ficha PDF p. 114.</t>
  </si>
  <si>
    <t>CL-FUE-0214</t>
  </si>
  <si>
    <t>Teatro Municipal de Marchigtie</t>
  </si>
  <si>
    <t>Marchigiie</t>
  </si>
  <si>
    <t>Artes escénicas; Música; Teatro</t>
  </si>
  <si>
    <t>https://ciudadania.cultura.gob.cl/wp-content/uploads/2025/12/Directorio_Espacios-Culturales-2025_RC.pdf#page=115</t>
  </si>
  <si>
    <t>Dirección OCR: Laureano Cornejo 224, Marchigiie. Ficha PDF p. 115.</t>
  </si>
  <si>
    <t>CL-FUE-0215</t>
  </si>
  <si>
    <t>érgola Municipal de Marchigtie</t>
  </si>
  <si>
    <t>Marchigie</t>
  </si>
  <si>
    <t>https://ciudadania.cultura.gob.cl/wp-content/uploads/2025/12/Directorio_Espacios-Culturales-2025_RC.pdf#page=116</t>
  </si>
  <si>
    <t>Dirección OCR: Laureano Cornejo 224, Marchigie. Ficha PDF p. 116.</t>
  </si>
  <si>
    <t>CL-FUE-0216</t>
  </si>
  <si>
    <t>Centro Cultural y Civico de Lolol</t>
  </si>
  <si>
    <t>Lolol</t>
  </si>
  <si>
    <t>https://ciudadania.cultura.gob.cl/wp-content/uploads/2025/12/Directorio_Espacios-Culturales-2025_RC.pdf#page=117</t>
  </si>
  <si>
    <t>Dirección OCR: Los Aromas 20, Lolol. Ficha PDF p. 117.</t>
  </si>
  <si>
    <t>CL-FUE-0217</t>
  </si>
  <si>
    <t>Casona O'Higgins de Pilay</t>
  </si>
  <si>
    <t>Mostazal</t>
  </si>
  <si>
    <t>Artesanía; Artes escénicas; Audiovisual; Interculturalidad</t>
  </si>
  <si>
    <t>https://ciudadania.cultura.gob.cl/wp-content/uploads/2025/12/Directorio_Espacios-Culturales-2025_RC.pdf#page=118</t>
  </si>
  <si>
    <t>Dirección OCR: O'Higgins de Pilay s/n, Mostazal. Ficha PDF p. 118.</t>
  </si>
  <si>
    <t>CL-FUE-0218</t>
  </si>
  <si>
    <t>Departamento de Cultura de San Fernando</t>
  </si>
  <si>
    <t>San Fernando</t>
  </si>
  <si>
    <t>https://ciudadania.cultura.gob.cl/wp-content/uploads/2025/12/Directorio_Espacios-Culturales-2025_RC.pdf#page=119</t>
  </si>
  <si>
    <t>Dirección OCR: Valdivia 822, San Fernando. Ficha PDF p. 119.</t>
  </si>
  <si>
    <t>CL-FUE-0219</t>
  </si>
  <si>
    <t>Espacio cultural (ficha 120)</t>
  </si>
  <si>
    <t>Olivar</t>
  </si>
  <si>
    <t>Artesanía; Artes escénicas; Artes visuales; Audiovisual; Patrimonio; Teatro</t>
  </si>
  <si>
    <t>https://ciudadania.cultura.gob.cl/wp-content/uploads/2025/12/Directorio_Espacios-Culturales-2025_RC.pdf#page=120</t>
  </si>
  <si>
    <t>Dirección OCR: José Hipélito Salas 3, Olivar. Ficha PDF p. 120.</t>
  </si>
  <si>
    <t>CL-FUE-0220</t>
  </si>
  <si>
    <t>Espacio cultural (ficha 121)</t>
  </si>
  <si>
    <t>https://ciudadania.cultura.gob.cl/wp-content/uploads/2025/12/Directorio_Espacios-Culturales-2025_RC.pdf#page=121</t>
  </si>
  <si>
    <t>Dirección OCR: Recinto Estacién s/n, Mostazal. Ficha PDF p. 121.</t>
  </si>
  <si>
    <t>CL-FUE-0221</t>
  </si>
  <si>
    <t>Espacio cultural (ficha 122)</t>
  </si>
  <si>
    <t>Las Cabras</t>
  </si>
  <si>
    <t>https://ciudadania.cultura.gob.cl/wp-content/uploads/2025/12/Directorio_Espacios-Culturales-2025_RC.pdf#page=122</t>
  </si>
  <si>
    <t>Dirección OCR: Francisco Encina s/n esq Av. Estadio, Las Cabras. Ficha PDF p. 122.</t>
  </si>
  <si>
    <t>CL-FUE-0222</t>
  </si>
  <si>
    <t>Espacio cultural (ficha 123)</t>
  </si>
  <si>
    <t>Palmilla Centro</t>
  </si>
  <si>
    <t>Artes escénicas; Artes visuales; Patrimonio; Teatro</t>
  </si>
  <si>
    <t>https://ciudadania.cultura.gob.cl/wp-content/uploads/2025/12/Directorio_Espacios-Culturales-2025_RC.pdf#page=123</t>
  </si>
  <si>
    <t>Dirección OCR: ‘Av. Juan Guillermo Day s/n, Palmilla Centro. Ficha PDF p. 123.</t>
  </si>
  <si>
    <t>CL-FUE-0223</t>
  </si>
  <si>
    <t>Salon Multiuso La Estrella</t>
  </si>
  <si>
    <t>La Estrella</t>
  </si>
  <si>
    <t>https://ciudadania.cultura.gob.cl/wp-content/uploads/2025/12/Directorio_Espacios-Culturales-2025_RC.pdf#page=124</t>
  </si>
  <si>
    <t>Dirección OCR: Diego Portales N° 619, La Estrella. Ficha PDF p. 124.</t>
  </si>
  <si>
    <t>CL-FUE-0224</t>
  </si>
  <si>
    <t>Espacio cultural (ficha 125)</t>
  </si>
  <si>
    <t>https://ciudadania.cultura.gob.cl/wp-content/uploads/2025/12/Directorio_Espacios-Culturales-2025_RC.pdf#page=125</t>
  </si>
  <si>
    <t>Dirección OCR: Valdivia 822. Ficha PDF p. 125.</t>
  </si>
  <si>
    <t>CL-FUE-0225</t>
  </si>
  <si>
    <t>Espacio cultural (ficha 126)</t>
  </si>
  <si>
    <t>https://ciudadania.cultura.gob.cl/wp-content/uploads/2025/12/Directorio_Espacios-Culturales-2025_RC.pdf#page=126</t>
  </si>
  <si>
    <t>Dirección OCR: Plaza de Armas s/n, Mostazal. Ficha PDF p. 126.</t>
  </si>
  <si>
    <t>CL-FUE-0226</t>
  </si>
  <si>
    <t>Casa de la Cultura de la Municipalidad</t>
  </si>
  <si>
    <t>Chimbarongo</t>
  </si>
  <si>
    <t>https://ciudadania.cultura.gob.cl/wp-content/uploads/2025/12/Directorio_Espacios-Culturales-2025_RC.pdf#page=127</t>
  </si>
  <si>
    <t>Dirección OCR: Miraflores 640, Chimbarongo. Ficha PDF p. 127.</t>
  </si>
  <si>
    <t>CL-FUE-0227</t>
  </si>
  <si>
    <t>Centro Civico y Cultural de Malloa</t>
  </si>
  <si>
    <t>Malloa</t>
  </si>
  <si>
    <t>https://ciudadania.cultura.gob.cl/wp-content/uploads/2025/12/Directorio_Espacios-Culturales-2025_RC.pdf#page=128</t>
  </si>
  <si>
    <t>Dirección OCR: Av. Bernardo O'Higgins 89, Malloa. Ficha PDF p. 128.</t>
  </si>
  <si>
    <t>CL-FUE-0228</t>
  </si>
  <si>
    <t>Teatro Municipal de San Fernando</t>
  </si>
  <si>
    <t>Danza; Teatro</t>
  </si>
  <si>
    <t>https://ciudadania.cultura.gob.cl/wp-content/uploads/2025/12/Directorio_Espacios-Culturales-2025_RC.pdf#page=129</t>
  </si>
  <si>
    <t>Dirección OCR: Carampangue 883, San Fernando. Ficha PDF p. 129.</t>
  </si>
  <si>
    <t>CL-FUE-0229</t>
  </si>
  <si>
    <t>Espacio cultural (ficha 130)</t>
  </si>
  <si>
    <t>Navidad</t>
  </si>
  <si>
    <t>https://ciudadania.cultura.gob.cl/wp-content/uploads/2025/12/Directorio_Espacios-Culturales-2025_RC.pdf#page=130</t>
  </si>
  <si>
    <t>Dirección OCR: Plaza General Bonilla s/n, Navidad. Ficha PDF p. 130.</t>
  </si>
  <si>
    <t>CL-FUE-0230</t>
  </si>
  <si>
    <t>Centro Cultural German Ruz</t>
  </si>
  <si>
    <t>Machali</t>
  </si>
  <si>
    <t>https://ciudadania.cultura.gob.cl/wp-content/uploads/2025/12/Directorio_Espacios-Culturales-2025_RC.pdf#page=131</t>
  </si>
  <si>
    <t>Dirección OCR: Irarrzabal s/n sector Piscina Municipal, Machali. Ficha PDF p. 131.</t>
  </si>
  <si>
    <t>CL-FUE-0231</t>
  </si>
  <si>
    <t>Teatro Municipal Hernan Castro Valenzuela</t>
  </si>
  <si>
    <t>Chépica</t>
  </si>
  <si>
    <t>https://ciudadania.cultura.gob.cl/wp-content/uploads/2025/12/Directorio_Espacios-Culturales-2025_RC.pdf#page=132</t>
  </si>
  <si>
    <t>Dirección OCR: Av. Manuel Montt 101, Chépica. Ficha PDF p. 132.</t>
  </si>
  <si>
    <t>CL-FUE-0232</t>
  </si>
  <si>
    <t>Direcci6n José Miguel Carrera 31, Curepto</t>
  </si>
  <si>
    <t>Curepto</t>
  </si>
  <si>
    <t>https://ciudadania.cultura.gob.cl/wp-content/uploads/2025/12/Directorio_Espacios-Culturales-2025_RC.pdf#page=134</t>
  </si>
  <si>
    <t>Dirección OCR: José Miguel Carrera 31, Curepto. Ficha PDF p. 134.</t>
  </si>
  <si>
    <t>CL-FUE-0233</t>
  </si>
  <si>
    <t>Fundacion para la Cultura y las Artes</t>
  </si>
  <si>
    <t>Constitucién</t>
  </si>
  <si>
    <t>https://ciudadania.cultura.gob.cl/wp-content/uploads/2025/12/Directorio_Espacios-Culturales-2025_RC.pdf#page=135</t>
  </si>
  <si>
    <t>Dirección OCR: Portales 587, Constitucién. Ficha PDF p. 135.</t>
  </si>
  <si>
    <t>CL-FUE-0234</t>
  </si>
  <si>
    <t>Teatro Municipal Arnaldo Canto Matus</t>
  </si>
  <si>
    <t>Molina</t>
  </si>
  <si>
    <t>https://ciudadania.cultura.gob.cl/wp-content/uploads/2025/12/Directorio_Espacios-Culturales-2025_RC.pdf#page=136</t>
  </si>
  <si>
    <t>Dirección OCR: Yerbas Buenas 1379, Molina. Ficha PDF p. 136.</t>
  </si>
  <si>
    <t>CL-FUE-0235</t>
  </si>
  <si>
    <t>Corporacién Cultural de Teno</t>
  </si>
  <si>
    <t>Teno</t>
  </si>
  <si>
    <t>https://ciudadania.cultura.gob.cl/wp-content/uploads/2025/12/Directorio_Espacios-Culturales-2025_RC.pdf#page=137</t>
  </si>
  <si>
    <t>Dirección OCR: ‘Av. Comalle 85, Teno. Ficha PDF p. 137.</t>
  </si>
  <si>
    <t>CL-FUE-0236</t>
  </si>
  <si>
    <t>CasaFactoria, infraestructura cultural de</t>
  </si>
  <si>
    <t>https://ciudadania.cultura.gob.cl/wp-content/uploads/2025/12/Directorio_Espacios-Culturales-2025_RC.pdf#page=138</t>
  </si>
  <si>
    <t>Dirección OCR: 7 Norte C 36, Teno. Ficha PDF p. 138.</t>
  </si>
  <si>
    <t>CL-FUE-0237</t>
  </si>
  <si>
    <t>Casa de la Cultura Lucy Andia de Cauquenes</t>
  </si>
  <si>
    <t>Cauquenes</t>
  </si>
  <si>
    <t>Artes escénicas; Literatura; Patrimonio</t>
  </si>
  <si>
    <t>https://ciudadania.cultura.gob.cl/wp-content/uploads/2025/12/Directorio_Espacios-Culturales-2025_RC.pdf#page=139</t>
  </si>
  <si>
    <t>Dirección OCR: San Francisco s/n, Cauquenes. Ficha PDF p. 139.</t>
  </si>
  <si>
    <t>CL-FUE-0238</t>
  </si>
  <si>
    <t>Centro Cultural La Candelaria</t>
  </si>
  <si>
    <t>Artes visuales; Danza</t>
  </si>
  <si>
    <t>https://ciudadania.cultura.gob.cl/wp-content/uploads/2025/12/Directorio_Espacios-Culturales-2025_RC.pdf#page=140</t>
  </si>
  <si>
    <t>Dirección OCR: 3 Sur 767, Talca. Ficha PDF p. 140.</t>
  </si>
  <si>
    <t>CL-FUE-0239</t>
  </si>
  <si>
    <t>Centro Cultural Municipal de Talca</t>
  </si>
  <si>
    <t>https://ciudadania.cultura.gob.cl/wp-content/uploads/2025/12/Directorio_Espacios-Culturales-2025_RC.pdf#page=141</t>
  </si>
  <si>
    <t>Dirección OCR: 6 Oriente 1477, Talca. Ficha PDF p. 141.</t>
  </si>
  <si>
    <t>CL-FUE-0240</t>
  </si>
  <si>
    <t>Centro Cultural Hagase Payasito</t>
  </si>
  <si>
    <t>https://ciudadania.cultura.gob.cl/wp-content/uploads/2025/12/Directorio_Espacios-Culturales-2025_RC.pdf#page=142</t>
  </si>
  <si>
    <t>Dirección OCR: 22 1/2 Oriente 1421, Talca. Ficha PDF p. 142.</t>
  </si>
  <si>
    <t>CL-FUE-0241</t>
  </si>
  <si>
    <t>Centro de Extension Cultural y Artistica</t>
  </si>
  <si>
    <t>https://ciudadania.cultura.gob.cl/wp-content/uploads/2025/12/Directorio_Espacios-Culturales-2025_RC.pdf#page=143</t>
  </si>
  <si>
    <t>Dirección OCR: 2 Norte 685, Talca. Ficha PDF p. 143.</t>
  </si>
  <si>
    <t>CL-FUE-0242</t>
  </si>
  <si>
    <t>Espacio cultural (ficha 144)</t>
  </si>
  <si>
    <t>Curicd</t>
  </si>
  <si>
    <t>https://ciudadania.cultura.gob.cl/wp-content/uploads/2025/12/Directorio_Espacios-Culturales-2025_RC.pdf#page=144</t>
  </si>
  <si>
    <t>Dirección OCR: Camino Iansa, Curicd. Ficha PDF p. 144.</t>
  </si>
  <si>
    <t>CL-FUE-0243</t>
  </si>
  <si>
    <t>Espacio cultural (ficha 145)</t>
  </si>
  <si>
    <t>Linares</t>
  </si>
  <si>
    <t>https://ciudadania.cultura.gob.cl/wp-content/uploads/2025/12/Directorio_Espacios-Culturales-2025_RC.pdf#page=145</t>
  </si>
  <si>
    <t>Dirección OCR: Lautaro 88, Linares. Ficha PDF p. 145.</t>
  </si>
  <si>
    <t>CL-FUE-0244</t>
  </si>
  <si>
    <t>asa de la Cultura Carmen Garcia Salamanca</t>
  </si>
  <si>
    <t>Pelluhue</t>
  </si>
  <si>
    <t>https://ciudadania.cultura.gob.cl/wp-content/uploads/2025/12/Directorio_Espacios-Culturales-2025_RC.pdf#page=146</t>
  </si>
  <si>
    <t>Dirección OCR: Calle 1 acceso norte Parque Costanera, Pelluhue. Ficha PDF p. 146.</t>
  </si>
  <si>
    <t>CL-FUE-0245</t>
  </si>
  <si>
    <t>Corporacion Cultural y de Extension de la</t>
  </si>
  <si>
    <t>https://ciudadania.cultura.gob.cl/wp-content/uploads/2025/12/Directorio_Espacios-Culturales-2025_RC.pdf#page=147</t>
  </si>
  <si>
    <t>Dirección OCR: Cruz 440, Constitucién. Ficha PDF p. 147.</t>
  </si>
  <si>
    <t>CL-FUE-0246</t>
  </si>
  <si>
    <t>Casa de la Cultura Margot Loyola Palacios</t>
  </si>
  <si>
    <t>https://ciudadania.cultura.gob.cl/wp-content/uploads/2025/12/Directorio_Espacios-Culturales-2025_RC.pdf#page=148</t>
  </si>
  <si>
    <t>Dirección OCR: ‘Alameda Valentin Letelier s/n, Linares. Ficha PDF p. 148.</t>
  </si>
  <si>
    <t>CL-FUE-0247</t>
  </si>
  <si>
    <t>Centro de Extension Universidad Catdlica</t>
  </si>
  <si>
    <t>https://ciudadania.cultura.gob.cl/wp-content/uploads/2025/12/Directorio_Espacios-Culturales-2025_RC.pdf#page=149</t>
  </si>
  <si>
    <t>Dirección OCR: 3 Norte 650, Talca. Ficha PDF p. 149.</t>
  </si>
  <si>
    <t>CL-FUE-0248</t>
  </si>
  <si>
    <t>Teatro Municipal de Constituci6n</t>
  </si>
  <si>
    <t>Artes escénicas; Patrimonio; Teatro</t>
  </si>
  <si>
    <t>https://ciudadania.cultura.gob.cl/wp-content/uploads/2025/12/Directorio_Espacios-Culturales-2025_RC.pdf#page=150</t>
  </si>
  <si>
    <t>Dirección OCR: Montt 475, Constitucién. Ficha PDF p. 150.</t>
  </si>
  <si>
    <t>CL-FUE-0249</t>
  </si>
  <si>
    <t>Teatro Municipal San Javier de Loncomilla</t>
  </si>
  <si>
    <t>San Javier</t>
  </si>
  <si>
    <t>https://ciudadania.cultura.gob.cl/wp-content/uploads/2025/12/Directorio_Espacios-Culturales-2025_RC.pdf#page=151</t>
  </si>
  <si>
    <t>Dirección OCR: Arturo Prat 2480, San Javier. Ficha PDF p. 151.</t>
  </si>
  <si>
    <t>CL-FUE-0250</t>
  </si>
  <si>
    <t>Espacio cultural (ficha 152)</t>
  </si>
  <si>
    <t>Llongocura Alto</t>
  </si>
  <si>
    <t>https://ciudadania.cultura.gob.cl/wp-content/uploads/2025/12/Directorio_Espacios-Culturales-2025_RC.pdf#page=152</t>
  </si>
  <si>
    <t>Dirección OCR: El Rayo s/n, Llongocura Alto. Ficha PDF p. 152.</t>
  </si>
  <si>
    <t>CL-FUE-0251</t>
  </si>
  <si>
    <t>La Testaruda. Museo del Teatro Maulino</t>
  </si>
  <si>
    <t>Villa Alegre</t>
  </si>
  <si>
    <t>https://ciudadania.cultura.gob.cl/wp-content/uploads/2025/12/Directorio_Espacios-Culturales-2025_RC.pdf#page=153</t>
  </si>
  <si>
    <t>Dirección OCR: Av. Abate Molina 1058, Villa Alegre. Ficha PDF p. 153.</t>
  </si>
  <si>
    <t>CL-FUE-0252</t>
  </si>
  <si>
    <t>Espacio cultural (ficha 154)</t>
  </si>
  <si>
    <t>https://ciudadania.cultura.gob.cl/wp-content/uploads/2025/12/Directorio_Espacios-Culturales-2025_RC.pdf#page=154</t>
  </si>
  <si>
    <t>Dirección OCR: 1 Oriente 1484. Ficha PDF p. 154.</t>
  </si>
  <si>
    <t>CL-FUE-0253</t>
  </si>
  <si>
    <t>Espacio cultural (ficha 155)</t>
  </si>
  <si>
    <t>Huilliborgoa</t>
  </si>
  <si>
    <t>https://ciudadania.cultura.gob.cl/wp-content/uploads/2025/12/Directorio_Espacios-Culturales-2025_RC.pdf#page=155</t>
  </si>
  <si>
    <t>Dirección OCR: La Fortuna 41, Huilliborgoa. Ficha PDF p. 155.</t>
  </si>
  <si>
    <t>CL-FUE-0254</t>
  </si>
  <si>
    <t>Espacio cultural (ficha 156)</t>
  </si>
  <si>
    <t>sector Duao</t>
  </si>
  <si>
    <t>https://ciudadania.cultura.gob.cl/wp-content/uploads/2025/12/Directorio_Espacios-Culturales-2025_RC.pdf#page=156</t>
  </si>
  <si>
    <t>Dirección OCR: Ruta k635 s/n, sector Duao. Ficha PDF p. 156.</t>
  </si>
  <si>
    <t>CL-FUE-0255</t>
  </si>
  <si>
    <t>Asociacio6n Mezclados</t>
  </si>
  <si>
    <t>https://ciudadania.cultura.gob.cl/wp-content/uploads/2025/12/Directorio_Espacios-Culturales-2025_RC.pdf#page=157</t>
  </si>
  <si>
    <t>Dirección OCR: La Fortuna 41, Huilliborgoa. Ficha PDF p. 157. Posible ficha duplicada o recinto compartido; revisar antes de crear una fuente independiente.</t>
  </si>
  <si>
    <t>CL-FUE-0256</t>
  </si>
  <si>
    <t>Jorporacién Cultural Corinto</t>
  </si>
  <si>
    <t>https://ciudadania.cultura.gob.cl/wp-content/uploads/2025/12/Directorio_Espacios-Culturales-2025_RC.pdf#page=158</t>
  </si>
  <si>
    <t>Dirección OCR: Ignacio Carrera Pinto s/n Corinto. Ficha PDF p. 158.</t>
  </si>
  <si>
    <t>CL-FUE-0257</t>
  </si>
  <si>
    <t>© _malborno@utalca.cl</t>
  </si>
  <si>
    <t>https://ciudadania.cultura.gob.cl/wp-content/uploads/2025/12/Directorio_Espacios-Culturales-2025_RC.pdf#page=159</t>
  </si>
  <si>
    <t>Dirección OCR: de Extension Cultural. Ficha PDF p. 159.</t>
  </si>
  <si>
    <t>CL-FUE-0258</t>
  </si>
  <si>
    <t>Espacio cultural (ficha 160)</t>
  </si>
  <si>
    <t>https://ciudadania.cultura.gob.cl/wp-content/uploads/2025/12/Directorio_Espacios-Culturales-2025_RC.pdf#page=160</t>
  </si>
  <si>
    <t>Dirección OCR: 8 Oriente 925, Talca. Ficha PDF p. 160.</t>
  </si>
  <si>
    <t>CL-FUE-0259</t>
  </si>
  <si>
    <t>Espacio cultural (ficha 161)</t>
  </si>
  <si>
    <t>https://ciudadania.cultura.gob.cl/wp-content/uploads/2025/12/Directorio_Espacios-Culturales-2025_RC.pdf#page=161</t>
  </si>
  <si>
    <t>Dirección OCR: Calle Independencia 1846, Molina. Ficha PDF p. 161.</t>
  </si>
  <si>
    <t>CL-FUE-0260</t>
  </si>
  <si>
    <t>Centro de extension cultural UCM Curico</t>
  </si>
  <si>
    <t>Curicé</t>
  </si>
  <si>
    <t>https://ciudadania.cultura.gob.cl/wp-content/uploads/2025/12/Directorio_Espacios-Culturales-2025_RC.pdf#page=162</t>
  </si>
  <si>
    <t>Dirección OCR: Prat 220, Curicé. Ficha PDF p. 162.</t>
  </si>
  <si>
    <t>CL-FUE-0261</t>
  </si>
  <si>
    <t>Espacio cultural (ficha 163)</t>
  </si>
  <si>
    <t>https://ciudadania.cultura.gob.cl/wp-content/uploads/2025/12/Directorio_Espacios-Culturales-2025_RC.pdf#page=163</t>
  </si>
  <si>
    <t>Dirección OCR: Calle 2 Oriente 884, Talca. Ficha PDF p. 163.</t>
  </si>
  <si>
    <t>CL-FUE-0262</t>
  </si>
  <si>
    <t>Fundacion Wayka Tierra de las Artes</t>
  </si>
  <si>
    <t>Colbun</t>
  </si>
  <si>
    <t>Artes escénicas; Música; Patrimonio</t>
  </si>
  <si>
    <t>https://ciudadania.cultura.gob.cl/wp-content/uploads/2025/12/Directorio_Espacios-Culturales-2025_RC.pdf#page=164</t>
  </si>
  <si>
    <t>Dirección OCR: Camino a Rari km 4,5 s/n, Colbun. Ficha PDF p. 164.</t>
  </si>
  <si>
    <t>CL-FUE-0263</t>
  </si>
  <si>
    <t>Espacio cultural (ficha 165)</t>
  </si>
  <si>
    <t>Curanipe</t>
  </si>
  <si>
    <t>https://ciudadania.cultura.gob.cl/wp-content/uploads/2025/12/Directorio_Espacios-Culturales-2025_RC.pdf#page=165</t>
  </si>
  <si>
    <t>Dirección OCR: Samuel Jofré 359, Curanipe. Ficha PDF p. 165.</t>
  </si>
  <si>
    <t>CL-FUE-0264</t>
  </si>
  <si>
    <t>&amp; centroculturalelespacio@gmail.com</t>
  </si>
  <si>
    <t>https://ciudadania.cultura.gob.cl/wp-content/uploads/2025/12/Directorio_Espacios-Culturales-2025_RC.pdf#page=166</t>
  </si>
  <si>
    <t>Dirección OCR: 3 Oriente 7 y 8 Norte 1874, Talca. Ficha PDF p. 166.</t>
  </si>
  <si>
    <t>CL-FUE-0265</t>
  </si>
  <si>
    <t>|antropar</t>
  </si>
  <si>
    <t>Artes escénicas; Música</t>
  </si>
  <si>
    <t>https://ciudadania.cultura.gob.cl/wp-content/uploads/2025/12/Directorio_Espacios-Culturales-2025_RC.pdf#page=167</t>
  </si>
  <si>
    <t>Dirección OCR: Calle Yungay 082, Curicé. Ficha PDF p. 167.</t>
  </si>
  <si>
    <t>CL-FUE-0266</t>
  </si>
  <si>
    <t>Teatro Municipal de Villa Alegre</t>
  </si>
  <si>
    <t>https://ciudadania.cultura.gob.cl/wp-content/uploads/2025/12/Directorio_Espacios-Culturales-2025_RC.pdf#page=168</t>
  </si>
  <si>
    <t>Dirección OCR: Avenida Espafia 196, Villa Alegre. Ficha PDF p. 168.</t>
  </si>
  <si>
    <t>CL-FUE-0267</t>
  </si>
  <si>
    <t>Espacio cultural (ficha 169)</t>
  </si>
  <si>
    <t>https://ciudadania.cultura.gob.cl/wp-content/uploads/2025/12/Directorio_Espacios-Culturales-2025_RC.pdf#page=169</t>
  </si>
  <si>
    <t>Dirección OCR: 2 Norte 2195. Ficha PDF p. 169.</t>
  </si>
  <si>
    <t>CL-FUE-0268</t>
  </si>
  <si>
    <t>Auditorio, Complejo Criollo</t>
  </si>
  <si>
    <t>Yerbas Buenas</t>
  </si>
  <si>
    <t>https://ciudadania.cultura.gob.cl/wp-content/uploads/2025/12/Directorio_Espacios-Culturales-2025_RC.pdf#page=170</t>
  </si>
  <si>
    <t>Dirección OCR: Av. Juan de Dios Puga 105, Yerbas Buenas. Ficha PDF p. 170.</t>
  </si>
  <si>
    <t>CL-FUE-0269</t>
  </si>
  <si>
    <t>Fundacién Cultural Cinecén</t>
  </si>
  <si>
    <t>https://ciudadania.cultura.gob.cl/wp-content/uploads/2025/12/Directorio_Espacios-Culturales-2025_RC.pdf#page=171</t>
  </si>
  <si>
    <t>Dirección OCR: Calle Blanco 1213, Constitucién. Ficha PDF p. 171.</t>
  </si>
  <si>
    <t>CL-FUE-0270</t>
  </si>
  <si>
    <t>Corporaci6n Cultural I. Municipalidad de Curico</t>
  </si>
  <si>
    <t>https://ciudadania.cultura.gob.cl/wp-content/uploads/2025/12/Directorio_Espacios-Culturales-2025_RC.pdf#page=172</t>
  </si>
  <si>
    <t>Dirección OCR: Carmen 560, Curicé. Ficha PDF p. 172.</t>
  </si>
  <si>
    <t>CL-FUE-0271</t>
  </si>
  <si>
    <t>Centro Cultural MOB</t>
  </si>
  <si>
    <t>https://ciudadania.cultura.gob.cl/wp-content/uploads/2025/12/Directorio_Espacios-Culturales-2025_RC.pdf#page=173</t>
  </si>
  <si>
    <t>Dirección OCR: Arturo Prat 2737, San Javier. Ficha PDF p. 173.</t>
  </si>
  <si>
    <t>CL-FUE-0272</t>
  </si>
  <si>
    <t>Parque Cultural Jeronimo Lagos Lisboa</t>
  </si>
  <si>
    <t>https://ciudadania.cultura.gob.cl/wp-content/uploads/2025/12/Directorio_Espacios-Culturales-2025_RC.pdf#page=174</t>
  </si>
  <si>
    <t>Dirección OCR: Avda. Balmaceda 930, San Javier. Ficha PDF p. 174.</t>
  </si>
  <si>
    <t>CL-FUE-0273</t>
  </si>
  <si>
    <t>Corporacién Espacio Rock</t>
  </si>
  <si>
    <t>Música</t>
  </si>
  <si>
    <t>https://ciudadania.cultura.gob.cl/wp-content/uploads/2025/12/Directorio_Espacios-Culturales-2025_RC.pdf#page=175</t>
  </si>
  <si>
    <t>Dirección OCR: 32 y media oriente c/ 12 norte 2175. Ficha PDF p. 175.</t>
  </si>
  <si>
    <t>CL-FUE-0274</t>
  </si>
  <si>
    <t>Espacio cultural (ficha 176)</t>
  </si>
  <si>
    <t>Chanco</t>
  </si>
  <si>
    <t>https://ciudadania.cultura.gob.cl/wp-content/uploads/2025/12/Directorio_Espacios-Culturales-2025_RC.pdf#page=176</t>
  </si>
  <si>
    <t>Dirección OCR: ‘Abdén Fuentealba 334,Chanco. Ficha PDF p. 176.</t>
  </si>
  <si>
    <t>CL-FUE-0275</t>
  </si>
  <si>
    <t>Teatro Maria Inés Pérez</t>
  </si>
  <si>
    <t>Empedrado</t>
  </si>
  <si>
    <t>https://ciudadania.cultura.gob.cl/wp-content/uploads/2025/12/Directorio_Espacios-Culturales-2025_RC.pdf#page=177</t>
  </si>
  <si>
    <t>Dirección OCR: Bernardo O'Higgins 422, Empedrado. Ficha PDF p. 177.</t>
  </si>
  <si>
    <t>CL-FUE-0276</t>
  </si>
  <si>
    <t>Espacio cultural (ficha 178)</t>
  </si>
  <si>
    <t>https://ciudadania.cultura.gob.cl/wp-content/uploads/2025/12/Directorio_Espacios-Culturales-2025_RC.pdf#page=178</t>
  </si>
  <si>
    <t>Dirección OCR: Carmen 560, Curicé. Ficha PDF p. 178. Posible ficha duplicada o recinto compartido; revisar antes de crear una fuente independiente.</t>
  </si>
  <si>
    <t>CL-FUE-0277</t>
  </si>
  <si>
    <t>Espacio cultural (ficha 179)</t>
  </si>
  <si>
    <t>https://ciudadania.cultura.gob.cl/wp-content/uploads/2025/12/Directorio_Espacios-Culturales-2025_RC.pdf#page=179</t>
  </si>
  <si>
    <t>Dirección OCR: Cuatro Sur 705, Talca. Ficha PDF p. 179.</t>
  </si>
  <si>
    <t>CL-FUE-0278</t>
  </si>
  <si>
    <t>Teatro Municipal de Sagrada Familia</t>
  </si>
  <si>
    <t>Sagrada Familia</t>
  </si>
  <si>
    <t>https://ciudadania.cultura.gob.cl/wp-content/uploads/2025/12/Directorio_Espacios-Culturales-2025_RC.pdf#page=180</t>
  </si>
  <si>
    <t>Dirección OCR: San Francisco 40, Sagrada Familia. Ficha PDF p. 180.</t>
  </si>
  <si>
    <t>CL-FUE-0279</t>
  </si>
  <si>
    <t>Corporacion Cultural y de Turismo de Pelarco</t>
  </si>
  <si>
    <t>Pelarco</t>
  </si>
  <si>
    <t>https://ciudadania.cultura.gob.cl/wp-content/uploads/2025/12/Directorio_Espacios-Culturales-2025_RC.pdf#page=181</t>
  </si>
  <si>
    <t>Dirección OCR: Calle San Pedro s/n, Pelarco. Ficha PDF p. 181.</t>
  </si>
  <si>
    <t>CL-FUE-0280</t>
  </si>
  <si>
    <t>Espacio cultural (ficha 182)</t>
  </si>
  <si>
    <t>https://ciudadania.cultura.gob.cl/wp-content/uploads/2025/12/Directorio_Espacios-Culturales-2025_RC.pdf#page=182</t>
  </si>
  <si>
    <t>Dirección OCR: Bernardo O'Higgins 422, Empedrado. Ficha PDF p. 182. Posible ficha duplicada o recinto compartido; revisar antes de crear una fuente independiente.</t>
  </si>
  <si>
    <t>CL-FUE-0281</t>
  </si>
  <si>
    <t>Espacio cultural (ficha 183)</t>
  </si>
  <si>
    <t>Parral</t>
  </si>
  <si>
    <t>Artes escénicas; Danza; Patrimonio; Teatro</t>
  </si>
  <si>
    <t>https://ciudadania.cultura.gob.cl/wp-content/uploads/2025/12/Directorio_Espacios-Culturales-2025_RC.pdf#page=183</t>
  </si>
  <si>
    <t>Dirección OCR: Calle Urrutia 317, Parral. Ficha PDF p. 183.</t>
  </si>
  <si>
    <t>CL-FUE-0282</t>
  </si>
  <si>
    <t>Corporacién Municipal de Cultura de Romeral</t>
  </si>
  <si>
    <t>Romeral</t>
  </si>
  <si>
    <t>https://ciudadania.cultura.gob.cl/wp-content/uploads/2025/12/Directorio_Espacios-Culturales-2025_RC.pdf#page=184</t>
  </si>
  <si>
    <t>Dirección OCR: Oscar Bonilla 64, Romeral. Ficha PDF p. 184.</t>
  </si>
  <si>
    <t>CL-FUE-0283</t>
  </si>
  <si>
    <t>Espacio cultural (ficha 185)</t>
  </si>
  <si>
    <t>Artes escénicas; Literatura</t>
  </si>
  <si>
    <t>https://ciudadania.cultura.gob.cl/wp-content/uploads/2025/12/Directorio_Espacios-Culturales-2025_RC.pdf#page=185</t>
  </si>
  <si>
    <t>Dirección OCR: Avenida Balmaceda 350. Ficha PDF p. 185.</t>
  </si>
  <si>
    <t>CL-FUE-0284</t>
  </si>
  <si>
    <t>Teatro Municipal de Linares</t>
  </si>
  <si>
    <t>https://ciudadania.cultura.gob.cl/wp-content/uploads/2025/12/Directorio_Espacios-Culturales-2025_RC.pdf#page=186</t>
  </si>
  <si>
    <t>Dirección OCR: Independencia 520, Linares. Ficha PDF p. 186.</t>
  </si>
  <si>
    <t>CL-FUE-0285</t>
  </si>
  <si>
    <t>Galpon Al Margen</t>
  </si>
  <si>
    <t>https://ciudadania.cultura.gob.cl/wp-content/uploads/2025/12/Directorio_Espacios-Culturales-2025_RC.pdf#page=187</t>
  </si>
  <si>
    <t>Dirección OCR: Calle 12 Sur 115, Villa Los Nogales 3, Talca. Ficha PDF p. 187.</t>
  </si>
  <si>
    <t>CL-FUE-0286</t>
  </si>
  <si>
    <t>Teatro Municipal German Moya Olave</t>
  </si>
  <si>
    <t>San Clemente</t>
  </si>
  <si>
    <t>https://ciudadania.cultura.gob.cl/wp-content/uploads/2025/12/Directorio_Espacios-Culturales-2025_RC.pdf#page=188</t>
  </si>
  <si>
    <t>Dirección OCR: Calle Alejandro Cruz s/n, San Clemente. Ficha PDF p. 188.</t>
  </si>
  <si>
    <t>CL-FUE-0287</t>
  </si>
  <si>
    <t>Teatro Municipal de Longavi</t>
  </si>
  <si>
    <t>Longavi</t>
  </si>
  <si>
    <t>https://ciudadania.cultura.gob.cl/wp-content/uploads/2025/12/Directorio_Espacios-Culturales-2025_RC.pdf#page=189</t>
  </si>
  <si>
    <t>Dirección OCR: 1 Oriente 224, Longavi. Ficha PDF p. 189.</t>
  </si>
  <si>
    <t>CL-FUE-0288</t>
  </si>
  <si>
    <t>Espacio cultural (ficha 190)</t>
  </si>
  <si>
    <t>Artes escénicas; Artes visuales; Literatura; Patrimonio</t>
  </si>
  <si>
    <t>https://ciudadania.cultura.gob.cl/wp-content/uploads/2025/12/Directorio_Espacios-Culturales-2025_RC.pdf#page=190</t>
  </si>
  <si>
    <t>Dirección OCR: Isabel Riquelme 479. Ficha PDF p. 190.</t>
  </si>
  <si>
    <t>CL-FUE-0289</t>
  </si>
  <si>
    <t>Espacio cultural (ficha 191)</t>
  </si>
  <si>
    <t>Chillan</t>
  </si>
  <si>
    <t>https://ciudadania.cultura.gob.cl/wp-content/uploads/2025/12/Directorio_Espacios-Culturales-2025_RC.pdf#page=191</t>
  </si>
  <si>
    <t>Dirección OCR: El Roble 1051, Chillan. Ficha PDF p. 191.</t>
  </si>
  <si>
    <t>CL-FUE-0290</t>
  </si>
  <si>
    <t>Fundacién Teatro La Matriz</t>
  </si>
  <si>
    <t>San Carlos</t>
  </si>
  <si>
    <t>Artesanía; Artes escénicas; Audiovisual; Interculturalidad; Teatro</t>
  </si>
  <si>
    <t>https://ciudadania.cultura.gob.cl/wp-content/uploads/2025/12/Directorio_Espacios-Culturales-2025_RC.pdf#page=192</t>
  </si>
  <si>
    <t>Dirección OCR: Av. Arturo Prat Norte 70, San Carlos. Ficha PDF p. 192.</t>
  </si>
  <si>
    <t>CL-FUE-0291</t>
  </si>
  <si>
    <t>Espacio cultural (ficha 193)</t>
  </si>
  <si>
    <t>Chillén</t>
  </si>
  <si>
    <t>https://ciudadania.cultura.gob.cl/wp-content/uploads/2025/12/Directorio_Espacios-Culturales-2025_RC.pdf#page=193</t>
  </si>
  <si>
    <t>Dirección OCR: Andrés Bello 715, Chillén. Ficha PDF p. 193.</t>
  </si>
  <si>
    <t>CL-FUE-0292</t>
  </si>
  <si>
    <t>Teatro Municipal de Chillan</t>
  </si>
  <si>
    <t>https://ciudadania.cultura.gob.cl/wp-content/uploads/2025/12/Directorio_Espacios-Culturales-2025_RC.pdf#page=194</t>
  </si>
  <si>
    <t>Dirección OCR: 18 de septiembre 590, Chillan. Ficha PDF p. 194.</t>
  </si>
  <si>
    <t>CL-FUE-0293</t>
  </si>
  <si>
    <t>Centro Cultural Municipal de Chillan</t>
  </si>
  <si>
    <t>https://ciudadania.cultura.gob.cl/wp-content/uploads/2025/12/Directorio_Espacios-Culturales-2025_RC.pdf#page=195</t>
  </si>
  <si>
    <t>Dirección OCR: Herminda Martin 579, Chillan. Ficha PDF p. 195.</t>
  </si>
  <si>
    <t>CL-FUE-0294</t>
  </si>
  <si>
    <t>Casa Museo Violeta Parra</t>
  </si>
  <si>
    <t>https://ciudadania.cultura.gob.cl/wp-content/uploads/2025/12/Directorio_Espacios-Culturales-2025_RC.pdf#page=196</t>
  </si>
  <si>
    <t>Dirección OCR: Roble 531, San Carlos. Ficha PDF p. 196.</t>
  </si>
  <si>
    <t>CL-FUE-0295</t>
  </si>
  <si>
    <t>Museo Internacional de la Grafica</t>
  </si>
  <si>
    <t>https://ciudadania.cultura.gob.cl/wp-content/uploads/2025/12/Directorio_Espacios-Culturales-2025_RC.pdf#page=197</t>
  </si>
  <si>
    <t>Dirección OCR: Av. O'Higgins esq. Veja de Saldias, Chillan. Ficha PDF p. 197.</t>
  </si>
  <si>
    <t>CL-FUE-0296</t>
  </si>
  <si>
    <t>Museo Vivo Artenin</t>
  </si>
  <si>
    <t>Ninhue</t>
  </si>
  <si>
    <t>https://ciudadania.cultura.gob.cl/wp-content/uploads/2025/12/Directorio_Espacios-Culturales-2025_RC.pdf#page=198</t>
  </si>
  <si>
    <t>Dirección OCR: Ruta N°48 con Ruta N°50, Ninhue. Ficha PDF p. 198.</t>
  </si>
  <si>
    <t>CL-FUE-0297</t>
  </si>
  <si>
    <t>Casa de la Cultura</t>
  </si>
  <si>
    <t>Ranquil</t>
  </si>
  <si>
    <t>https://ciudadania.cultura.gob.cl/wp-content/uploads/2025/12/Directorio_Espacios-Culturales-2025_RC.pdf#page=199</t>
  </si>
  <si>
    <t>Dirección OCR: Nicasio Alarcén N° 416, Nipas, Ranquil. Ficha PDF p. 199.</t>
  </si>
  <si>
    <t>CL-FUE-0298</t>
  </si>
  <si>
    <t>Espacio cultural (ficha 200)</t>
  </si>
  <si>
    <t>https://ciudadania.cultura.gob.cl/wp-content/uploads/2025/12/Directorio_Espacios-Culturales-2025_RC.pdf#page=200</t>
  </si>
  <si>
    <t>Dirección OCR: ‘Avenida Baena Espafia 0180, San Carlos. Ficha PDF p. 200.</t>
  </si>
  <si>
    <t>CL-FUE-0299</t>
  </si>
  <si>
    <t>‘Salén Lazaro Cardenas</t>
  </si>
  <si>
    <t>https://ciudadania.cultura.gob.cl/wp-content/uploads/2025/12/Directorio_Espacios-Culturales-2025_RC.pdf#page=201</t>
  </si>
  <si>
    <t>Dirección OCR: Vega de Saldia con Av. O'Higgins, Chillén. Ficha PDF p. 201.</t>
  </si>
  <si>
    <t>CL-FUE-0300</t>
  </si>
  <si>
    <t>Centro Cultural Edificio de la Cultura de Bulnes</t>
  </si>
  <si>
    <t>Bulnes</t>
  </si>
  <si>
    <t>https://ciudadania.cultura.gob.cl/wp-content/uploads/2025/12/Directorio_Espacios-Culturales-2025_RC.pdf#page=202</t>
  </si>
  <si>
    <t>Dirección OCR: Arturo Prat 367, Bulnes. Ficha PDF p. 202.</t>
  </si>
  <si>
    <t>CL-FUE-0301</t>
  </si>
  <si>
    <t>Teatro Municipal</t>
  </si>
  <si>
    <t>Quirihue</t>
  </si>
  <si>
    <t>https://ciudadania.cultura.gob.cl/wp-content/uploads/2025/12/Directorio_Espacios-Culturales-2025_RC.pdf#page=203</t>
  </si>
  <si>
    <t>Dirección OCR: San Martin 280, Quirihue. Ficha PDF p. 203.</t>
  </si>
  <si>
    <t>CL-FUE-0302</t>
  </si>
  <si>
    <t>Escuela de Cultura y Difusion Artistica</t>
  </si>
  <si>
    <t>https://ciudadania.cultura.gob.cl/wp-content/uploads/2025/12/Directorio_Espacios-Culturales-2025_RC.pdf#page=204</t>
  </si>
  <si>
    <t>Dirección OCR: Arauco 356, Chillan. Ficha PDF p. 204.</t>
  </si>
  <si>
    <t>CL-FUE-0303</t>
  </si>
  <si>
    <t>Biblioteca Publica de Cabrero</t>
  </si>
  <si>
    <t>Cabrero</t>
  </si>
  <si>
    <t>https://ciudadania.cultura.gob.cl/wp-content/uploads/2025/12/Directorio_Espacios-Culturales-2025_RC.pdf#page=205</t>
  </si>
  <si>
    <t>Dirección OCR: Avenida Vial 215 B, Cabrero. Ficha PDF p. 205.</t>
  </si>
  <si>
    <t>CL-FUE-0304</t>
  </si>
  <si>
    <t>Y Higgins 851, Yumbel</t>
  </si>
  <si>
    <t>Yumbel</t>
  </si>
  <si>
    <t>https://ciudadania.cultura.gob.cl/wp-content/uploads/2025/12/Directorio_Espacios-Culturales-2025_RC.pdf#page=206</t>
  </si>
  <si>
    <t>Dirección OCR: O'Higgins 851, Yumbel. Ficha PDF p. 206.</t>
  </si>
  <si>
    <t>CL-FUE-0305</t>
  </si>
  <si>
    <t>Espacio cultural Quilleco (ex sal6n auditorio)</t>
  </si>
  <si>
    <t>Quilleco</t>
  </si>
  <si>
    <t>https://ciudadania.cultura.gob.cl/wp-content/uploads/2025/12/Directorio_Espacios-Culturales-2025_RC.pdf#page=207</t>
  </si>
  <si>
    <t>Dirección OCR: Bascur 431, Quilleco. Ficha PDF p. 207.</t>
  </si>
  <si>
    <t>CL-FUE-0306</t>
  </si>
  <si>
    <t>Espacio cultural (ficha 208)</t>
  </si>
  <si>
    <t>Los Angeles</t>
  </si>
  <si>
    <t>Artesanía; Artes escénicas; Artes visuales; Circo; Danza; Educación artística; Literatura; Música</t>
  </si>
  <si>
    <t>https://ciudadania.cultura.gob.cl/wp-content/uploads/2025/12/Directorio_Espacios-Culturales-2025_RC.pdf#page=208</t>
  </si>
  <si>
    <t>Dirección OCR: Lautaro 445, Los Angeles. Ficha PDF p. 208.</t>
  </si>
  <si>
    <t>CL-FUE-0307</t>
  </si>
  <si>
    <t>Biblioteca Publica de Tirta</t>
  </si>
  <si>
    <t>Tirta</t>
  </si>
  <si>
    <t>Interculturalidad</t>
  </si>
  <si>
    <t>https://ciudadania.cultura.gob.cl/wp-content/uploads/2025/12/Directorio_Espacios-Culturales-2025_RC.pdf#page=209</t>
  </si>
  <si>
    <t>Dirección OCR: Calle Fresia s/n, Tirta. Ficha PDF p. 209.</t>
  </si>
  <si>
    <t>CL-FUE-0308</t>
  </si>
  <si>
    <t>Biblioteca Municipal Samuel Lillo Figueroa 266</t>
  </si>
  <si>
    <t>https://ciudadania.cultura.gob.cl/wp-content/uploads/2025/12/Directorio_Espacios-Culturales-2025_RC.pdf#page=210</t>
  </si>
  <si>
    <t>Dirección OCR: Mackay 730, Lebu. Ficha PDF p. 210.</t>
  </si>
  <si>
    <t>CL-FUE-0309</t>
  </si>
  <si>
    <t>Winkil Ruka Kimiin</t>
  </si>
  <si>
    <t>Alto Biobio</t>
  </si>
  <si>
    <t>https://ciudadania.cultura.gob.cl/wp-content/uploads/2025/12/Directorio_Espacios-Culturales-2025_RC.pdf#page=211</t>
  </si>
  <si>
    <t>Dirección OCR: Av. Alto Biobio 780, Alto Biobio. Ficha PDF p. 211.</t>
  </si>
  <si>
    <t>CL-FUE-0310</t>
  </si>
  <si>
    <t>Casa de la Cultura Jorge Vigueras Llanos</t>
  </si>
  <si>
    <t>Coronel</t>
  </si>
  <si>
    <t>https://ciudadania.cultura.gob.cl/wp-content/uploads/2025/12/Directorio_Espacios-Culturales-2025_RC.pdf#page=212</t>
  </si>
  <si>
    <t>Dirección OCR: Manuel Montt 420, Coronel. Ficha PDF p. 212.</t>
  </si>
  <si>
    <t>CL-FUE-0311</t>
  </si>
  <si>
    <t>Espacio cultural (ficha 213)</t>
  </si>
  <si>
    <t>Talcahuano</t>
  </si>
  <si>
    <t>https://ciudadania.cultura.gob.cl/wp-content/uploads/2025/12/Directorio_Espacios-Culturales-2025_RC.pdf#page=213</t>
  </si>
  <si>
    <t>Dirección OCR: Manuel Montt 420, Talcahuano. Ficha PDF p. 213.</t>
  </si>
  <si>
    <t>CL-FUE-0312</t>
  </si>
  <si>
    <t>Museo de Ia Historia de Penco</t>
  </si>
  <si>
    <t>Penco</t>
  </si>
  <si>
    <t>https://ciudadania.cultura.gob.cl/wp-content/uploads/2025/12/Directorio_Espacios-Culturales-2025_RC.pdf#page=214</t>
  </si>
  <si>
    <t>Dirección OCR: Calle Penco 202, Penco. Ficha PDF p. 214.</t>
  </si>
  <si>
    <t>CL-FUE-0313</t>
  </si>
  <si>
    <t>Punto de Cultura</t>
  </si>
  <si>
    <t>Concepcién</t>
  </si>
  <si>
    <t>https://ciudadania.cultura.gob.cl/wp-content/uploads/2025/12/Directorio_Espacios-Culturales-2025_RC.pdf#page=215</t>
  </si>
  <si>
    <t>Dirección OCR: O'Higgins 555, Concepcién. Ficha PDF p. 215.</t>
  </si>
  <si>
    <t>CL-FUE-0314</t>
  </si>
  <si>
    <t>Teatro Alex Lermanda</t>
  </si>
  <si>
    <t>Tucapel</t>
  </si>
  <si>
    <t>https://ciudadania.cultura.gob.cl/wp-content/uploads/2025/12/Directorio_Espacios-Culturales-2025_RC.pdf#page=216</t>
  </si>
  <si>
    <t>Dirección OCR: Covadonga esq. San Diego s/n, Tucapel. Ficha PDF p. 216.</t>
  </si>
  <si>
    <t>CL-FUE-0315</t>
  </si>
  <si>
    <t>Centro Cultural Eduardo Pinto Rodriguez</t>
  </si>
  <si>
    <t>Curanilahue</t>
  </si>
  <si>
    <t>https://ciudadania.cultura.gob.cl/wp-content/uploads/2025/12/Directorio_Espacios-Culturales-2025_RC.pdf#page=217</t>
  </si>
  <si>
    <t>Dirección OCR: Arturo Prat 817, Curanilahue. Ficha PDF p. 217.</t>
  </si>
  <si>
    <t>CL-FUE-0316</t>
  </si>
  <si>
    <t>Centro Cultural Municipal de Hualpén</t>
  </si>
  <si>
    <t>Hualpén</t>
  </si>
  <si>
    <t>https://ciudadania.cultura.gob.cl/wp-content/uploads/2025/12/Directorio_Espacios-Culturales-2025_RC.pdf#page=218</t>
  </si>
  <si>
    <t>Dirección OCR: Potsdam 751 esq. Reconquista, Hualpén. Ficha PDF p. 218.</t>
  </si>
  <si>
    <t>CL-FUE-0317</t>
  </si>
  <si>
    <t>Casa de la Cultura de Quilaco</t>
  </si>
  <si>
    <t>Quilaco</t>
  </si>
  <si>
    <t>https://ciudadania.cultura.gob.cl/wp-content/uploads/2025/12/Directorio_Espacios-Culturales-2025_RC.pdf#page=219</t>
  </si>
  <si>
    <t>Dirección OCR: O'Higgins 1619, Quilaco. Ficha PDF p. 219.</t>
  </si>
  <si>
    <t>CL-FUE-0318</t>
  </si>
  <si>
    <t>Centro Cultural Gladys Sepulveda</t>
  </si>
  <si>
    <t>https://ciudadania.cultura.gob.cl/wp-content/uploads/2025/12/Directorio_Espacios-Culturales-2025_RC.pdf#page=220</t>
  </si>
  <si>
    <t>Dirección OCR: no reconocida. Ficha PDF p. 220.</t>
  </si>
  <si>
    <t>CL-FUE-0319</t>
  </si>
  <si>
    <t>Casa de [a Cultura</t>
  </si>
  <si>
    <t>Chiguayante</t>
  </si>
  <si>
    <t>https://ciudadania.cultura.gob.cl/wp-content/uploads/2025/12/Directorio_Espacios-Culturales-2025_RC.pdf#page=221</t>
  </si>
  <si>
    <t>Dirección OCR: Orozimbo Barbosa 294, Chiguayante. Ficha PDF p. 221.</t>
  </si>
  <si>
    <t>CL-FUE-0320</t>
  </si>
  <si>
    <t>Sala de la Cultura y las Artes de Cabrero</t>
  </si>
  <si>
    <t>https://ciudadania.cultura.gob.cl/wp-content/uploads/2025/12/Directorio_Espacios-Culturales-2025_RC.pdf#page=222</t>
  </si>
  <si>
    <t>Dirección OCR: Rio Claro 319, Cabrero. Ficha PDF p. 222.</t>
  </si>
  <si>
    <t>CL-FUE-0321</t>
  </si>
  <si>
    <t>Sala de la Cultura y de las Artes Monte Aguila</t>
  </si>
  <si>
    <t>Monte Aguila</t>
  </si>
  <si>
    <t>https://ciudadania.cultura.gob.cl/wp-content/uploads/2025/12/Directorio_Espacios-Culturales-2025_RC.pdf#page=223</t>
  </si>
  <si>
    <t>Dirección OCR: Ahumada 173, Monte Aguila. Ficha PDF p. 223.</t>
  </si>
  <si>
    <t>CL-FUE-0322</t>
  </si>
  <si>
    <t>Sala de Artes Escénicas</t>
  </si>
  <si>
    <t>https://ciudadania.cultura.gob.cl/wp-content/uploads/2025/12/Directorio_Espacios-Culturales-2025_RC.pdf#page=224</t>
  </si>
  <si>
    <t>Dirección OCR: Orozimbo Barbosa 294, Chiguayante. Ficha PDF p. 224. Posible ficha duplicada o recinto compartido; revisar antes de crear una fuente independiente.</t>
  </si>
  <si>
    <t>CL-FUE-0323</t>
  </si>
  <si>
    <t>asa de la Cultura</t>
  </si>
  <si>
    <t>Mulchén</t>
  </si>
  <si>
    <t>https://ciudadania.cultura.gob.cl/wp-content/uploads/2025/12/Directorio_Espacios-Culturales-2025_RC.pdf#page=225</t>
  </si>
  <si>
    <t>Dirección OCR: Gana 360, Mulchén. Ficha PDF p. 225.</t>
  </si>
  <si>
    <t>CL-FUE-0324</t>
  </si>
  <si>
    <t>asa de la Itura de Negrete</t>
  </si>
  <si>
    <t>Negrete</t>
  </si>
  <si>
    <t>https://ciudadania.cultura.gob.cl/wp-content/uploads/2025/12/Directorio_Espacios-Culturales-2025_RC.pdf#page=226</t>
  </si>
  <si>
    <t>Dirección OCR: Ignacio Carrera 370, Negrete. Ficha PDF p. 226.</t>
  </si>
  <si>
    <t>CL-FUE-0325</t>
  </si>
  <si>
    <t>Centro Cultural Tomé</t>
  </si>
  <si>
    <t>Tomé</t>
  </si>
  <si>
    <t>https://ciudadania.cultura.gob.cl/wp-content/uploads/2025/12/Directorio_Espacios-Culturales-2025_RC.pdf#page=227</t>
  </si>
  <si>
    <t>Dirección OCR: Sotomayor 947, Tomé. Ficha PDF p. 227.</t>
  </si>
  <si>
    <t>CL-FUE-0326</t>
  </si>
  <si>
    <t>Casa de la Cultura y el Arte de Nacimiento</t>
  </si>
  <si>
    <t>Nacimiento</t>
  </si>
  <si>
    <t>https://ciudadania.cultura.gob.cl/wp-content/uploads/2025/12/Directorio_Espacios-Culturales-2025_RC.pdf#page=228</t>
  </si>
  <si>
    <t>Dirección OCR: Pablo Neruda 1289, Nacimiento. Ficha PDF p. 228.</t>
  </si>
  <si>
    <t>CL-FUE-0327</t>
  </si>
  <si>
    <t>Casa de la Cultura San Pedro de la Paz</t>
  </si>
  <si>
    <t>San Pedro de la Paz</t>
  </si>
  <si>
    <t>https://ciudadania.cultura.gob.cl/wp-content/uploads/2025/12/Directorio_Espacios-Culturales-2025_RC.pdf#page=229</t>
  </si>
  <si>
    <t>Dirección OCR: Los Fresnos 1640, San Pedro de la Paz. Ficha PDF p. 229.</t>
  </si>
  <si>
    <t>CL-FUE-0328</t>
  </si>
  <si>
    <t>Centro de la Cultura y las Artes</t>
  </si>
  <si>
    <t>https://ciudadania.cultura.gob.cl/wp-content/uploads/2025/12/Directorio_Espacios-Culturales-2025_RC.pdf#page=230</t>
  </si>
  <si>
    <t>Dirección OCR: Pérez 541, Lebu. Ficha PDF p. 230.</t>
  </si>
  <si>
    <t>CL-FUE-0329</t>
  </si>
  <si>
    <t>Espacio cultural (ficha 231)</t>
  </si>
  <si>
    <t>https://ciudadania.cultura.gob.cl/wp-content/uploads/2025/12/Directorio_Espacios-Culturales-2025_RC.pdf#page=231</t>
  </si>
  <si>
    <t>Dirección OCR: Colo Colo 484, Los Angeles. Ficha PDF p. 231.</t>
  </si>
  <si>
    <t>CL-FUE-0330</t>
  </si>
  <si>
    <t>Galeria Municipal de Arte</t>
  </si>
  <si>
    <t>https://ciudadania.cultura.gob.cl/wp-content/uploads/2025/12/Directorio_Espacios-Culturales-2025_RC.pdf#page=232</t>
  </si>
  <si>
    <t>Dirección OCR: Plaza Anibal Pinto s/n, Temuco. Ficha PDF p. 232.</t>
  </si>
  <si>
    <t>CL-FUE-0331</t>
  </si>
  <si>
    <t>Casa de la Cultura de Toltén</t>
  </si>
  <si>
    <t>Nueva Toltén</t>
  </si>
  <si>
    <t>https://ciudadania.cultura.gob.cl/wp-content/uploads/2025/12/Directorio_Espacios-Culturales-2025_RC.pdf#page=233</t>
  </si>
  <si>
    <t>Dirección OCR: Los Copihues 595, Nueva Toltén. Ficha PDF p. 233.</t>
  </si>
  <si>
    <t>CL-FUE-0332</t>
  </si>
  <si>
    <t>Punto de Cultura Comunitaria</t>
  </si>
  <si>
    <t>Curarrehue</t>
  </si>
  <si>
    <t>Educación artística; Cultura comunitaria</t>
  </si>
  <si>
    <t>https://ciudadania.cultura.gob.cl/wp-content/uploads/2025/12/Directorio_Espacios-Culturales-2025_RC.pdf#page=234</t>
  </si>
  <si>
    <t>Dirección OCR: Francisco Valdés 112, Curarrehue. Ficha PDF p. 234.</t>
  </si>
  <si>
    <t>CL-FUE-0333</t>
  </si>
  <si>
    <t>Museo Historico de Melipeuco</t>
  </si>
  <si>
    <t>Melipeuco</t>
  </si>
  <si>
    <t>https://ciudadania.cultura.gob.cl/wp-content/uploads/2025/12/Directorio_Espacios-Culturales-2025_RC.pdf#page=235</t>
  </si>
  <si>
    <t>Dirección OCR: Pedro Aguirre Cerda 0200, Melipeuco. Ficha PDF p. 235.</t>
  </si>
  <si>
    <t>CL-FUE-0334</t>
  </si>
  <si>
    <t>Espacio cultural (ficha 236)</t>
  </si>
  <si>
    <t>Danza; Patrimonio</t>
  </si>
  <si>
    <t>https://ciudadania.cultura.gob.cl/wp-content/uploads/2025/12/Directorio_Espacios-Culturales-2025_RC.pdf#page=236</t>
  </si>
  <si>
    <t>Dirección OCR: Héroes de la Concepcién 21, Curarrehue. Ficha PDF p. 236.</t>
  </si>
  <si>
    <t>CL-FUE-0335</t>
  </si>
  <si>
    <t>Bibliotecas Publicas Municipales</t>
  </si>
  <si>
    <t>Teodoro Schmidt</t>
  </si>
  <si>
    <t>https://ciudadania.cultura.gob.cl/wp-content/uploads/2025/12/Directorio_Espacios-Culturales-2025_RC.pdf#page=237</t>
  </si>
  <si>
    <t>Dirección OCR: 2 Sur s/n, Barros Arana, Teodoro Schmidt. Ficha PDF p. 237.</t>
  </si>
  <si>
    <t>CL-FUE-0336</t>
  </si>
  <si>
    <t>https://ciudadania.cultura.gob.cl/wp-content/uploads/2025/12/Directorio_Espacios-Culturales-2025_RC.pdf#page=238</t>
  </si>
  <si>
    <t>Dirección OCR: no reconocida. Ficha PDF p. 238.</t>
  </si>
  <si>
    <t>CL-FUE-0337</t>
  </si>
  <si>
    <t>https://ciudadania.cultura.gob.cl/wp-content/uploads/2025/12/Directorio_Espacios-Culturales-2025_RC.pdf#page=239</t>
  </si>
  <si>
    <t>Dirección OCR: O'Higgins s/n, Hualpin, Teodoro Schmidt. Ficha PDF p. 239.</t>
  </si>
  <si>
    <t>CL-FUE-0338</t>
  </si>
  <si>
    <t>https://ciudadania.cultura.gob.cl/wp-content/uploads/2025/12/Directorio_Espacios-Culturales-2025_RC.pdf#page=240</t>
  </si>
  <si>
    <t>Dirección OCR: Barros Arana 0565, Temuco. Ficha PDF p. 240.</t>
  </si>
  <si>
    <t>CL-FUE-0339</t>
  </si>
  <si>
    <t>Observatorio Regional de Participacion y</t>
  </si>
  <si>
    <t>Renaico</t>
  </si>
  <si>
    <t>https://ciudadania.cultura.gob.cl/wp-content/uploads/2025/12/Directorio_Espacios-Culturales-2025_RC.pdf#page=241</t>
  </si>
  <si>
    <t>Dirección OCR: A. Prat 407, Renaico. Ficha PDF p. 241.</t>
  </si>
  <si>
    <t>CL-FUE-0340</t>
  </si>
  <si>
    <t>Centro Cultural de Padre Las Casas</t>
  </si>
  <si>
    <t>Padre Las Casas</t>
  </si>
  <si>
    <t>https://ciudadania.cultura.gob.cl/wp-content/uploads/2025/12/Directorio_Espacios-Culturales-2025_RC.pdf#page=242</t>
  </si>
  <si>
    <t>Dirección OCR: Maquehue 1441, Padre Las Casas. Ficha PDF p. 242.</t>
  </si>
  <si>
    <t>CL-FUE-0341</t>
  </si>
  <si>
    <t>Espacio de Creacion Artistica Txawun</t>
  </si>
  <si>
    <t>https://ciudadania.cultura.gob.cl/wp-content/uploads/2025/12/Directorio_Espacios-Culturales-2025_RC.pdf#page=243</t>
  </si>
  <si>
    <t>Dirección OCR: Km 13,5 camino a Niagara, Padre Las Casas. Ficha PDF p. 243.</t>
  </si>
  <si>
    <t>CL-FUE-0342</t>
  </si>
  <si>
    <t>Espacio cultural (ficha 244)</t>
  </si>
  <si>
    <t>Angol</t>
  </si>
  <si>
    <t>https://ciudadania.cultura.gob.cl/wp-content/uploads/2025/12/Directorio_Espacios-Culturales-2025_RC.pdf#page=244</t>
  </si>
  <si>
    <t>Dirección OCR: Lautaro 101, Angol. Ficha PDF p. 244.</t>
  </si>
  <si>
    <t>CL-FUE-0343</t>
  </si>
  <si>
    <t>Centro Cultural Galo Sepulveda</t>
  </si>
  <si>
    <t>https://ciudadania.cultura.gob.cl/wp-content/uploads/2025/12/Directorio_Espacios-Culturales-2025_RC.pdf#page=245</t>
  </si>
  <si>
    <t>Dirección OCR: Prat 042, Temuco. Ficha PDF p. 245.</t>
  </si>
  <si>
    <t>CL-FUE-0344</t>
  </si>
  <si>
    <t>© teatromunicipal@temuco.cl</t>
  </si>
  <si>
    <t>https://ciudadania.cultura.gob.cl/wp-content/uploads/2025/12/Directorio_Espacios-Culturales-2025_RC.pdf#page=246</t>
  </si>
  <si>
    <t>Dirección OCR: Av. Pablo Neruda 01380, Temuco. Ficha PDF p. 246.</t>
  </si>
  <si>
    <t>CL-FUE-0345</t>
  </si>
  <si>
    <t>Espacio cultural (ficha 247)</t>
  </si>
  <si>
    <t>Carahue</t>
  </si>
  <si>
    <t>Danza; Música; Patrimonio; Teatro</t>
  </si>
  <si>
    <t>https://ciudadania.cultura.gob.cl/wp-content/uploads/2025/12/Directorio_Espacios-Culturales-2025_RC.pdf#page=247</t>
  </si>
  <si>
    <t>Dirección OCR: Manuel Montt 295, Carahue. Ficha PDF p. 247.</t>
  </si>
  <si>
    <t>CL-FUE-0346</t>
  </si>
  <si>
    <t>© cultura@mcuracautin.cl</t>
  </si>
  <si>
    <t>Curacautin</t>
  </si>
  <si>
    <t>https://ciudadania.cultura.gob.cl/wp-content/uploads/2025/12/Directorio_Espacios-Culturales-2025_RC.pdf#page=248</t>
  </si>
  <si>
    <t>Dirección OCR: Serrano 295, Curacautin. Ficha PDF p. 248.</t>
  </si>
  <si>
    <t>CL-FUE-0347</t>
  </si>
  <si>
    <t>Espacio cultural (ficha 249)</t>
  </si>
  <si>
    <t>Collipulli</t>
  </si>
  <si>
    <t>https://ciudadania.cultura.gob.cl/wp-content/uploads/2025/12/Directorio_Espacios-Culturales-2025_RC.pdf#page=249</t>
  </si>
  <si>
    <t>Dirección OCR: Calle Alcézar 1026, Collipulli. Ficha PDF p. 249.</t>
  </si>
  <si>
    <t>CL-FUE-0348</t>
  </si>
  <si>
    <t>Crisol Celeste Residencia Artistica</t>
  </si>
  <si>
    <t>Villarrica</t>
  </si>
  <si>
    <t>https://ciudadania.cultura.gob.cl/wp-content/uploads/2025/12/Directorio_Espacios-Culturales-2025_RC.pdf#page=250</t>
  </si>
  <si>
    <t>Dirección OCR: Km 11 camino a Licanrray, Villarrica. Ficha PDF p. 250.</t>
  </si>
  <si>
    <t>CL-FUE-0349</t>
  </si>
  <si>
    <t>Casa de la Cultura de Traiguén</t>
  </si>
  <si>
    <t>Traiguén</t>
  </si>
  <si>
    <t>Artes escénicas; Artes visuales; Música</t>
  </si>
  <si>
    <t>https://ciudadania.cultura.gob.cl/wp-content/uploads/2025/12/Directorio_Espacios-Culturales-2025_RC.pdf#page=251</t>
  </si>
  <si>
    <t>Dirección OCR: Lagos 562, Traiguén. Ficha PDF p. 251.</t>
  </si>
  <si>
    <t>CL-FUE-0350</t>
  </si>
  <si>
    <t>Casa de la Cultura Municipal de Pucon</t>
  </si>
  <si>
    <t>Pucén</t>
  </si>
  <si>
    <t>Artes escénicas; Artes visuales; Audiovisual; Educación artística; Patrimonio</t>
  </si>
  <si>
    <t>https://ciudadania.cultura.gob.cl/wp-content/uploads/2025/12/Directorio_Espacios-Culturales-2025_RC.pdf#page=252</t>
  </si>
  <si>
    <t>Dirección OCR: Caupolican 210, Pucén. Ficha PDF p. 252.</t>
  </si>
  <si>
    <t>CL-FUE-0351</t>
  </si>
  <si>
    <t>Centro Cultural Municipal de Nueva Imperial</t>
  </si>
  <si>
    <t>Nueva Imperial</t>
  </si>
  <si>
    <t>https://ciudadania.cultura.gob.cl/wp-content/uploads/2025/12/Directorio_Espacios-Culturales-2025_RC.pdf#page=253</t>
  </si>
  <si>
    <t>Dirección OCR: Prat 309, Nueva Imperial. Ficha PDF p. 253.</t>
  </si>
  <si>
    <t>CL-FUE-0352</t>
  </si>
  <si>
    <t>Teatro Municipal de Renaico</t>
  </si>
  <si>
    <t>https://ciudadania.cultura.gob.cl/wp-content/uploads/2025/12/Directorio_Espacios-Culturales-2025_RC.pdf#page=254</t>
  </si>
  <si>
    <t>Dirección OCR: Comercio 206, Renaico. Ficha PDF p. 254.</t>
  </si>
  <si>
    <t>CL-FUE-0353</t>
  </si>
  <si>
    <t>Espacio cultural (ficha 255)</t>
  </si>
  <si>
    <t>Lonquimay</t>
  </si>
  <si>
    <t>https://ciudadania.cultura.gob.cl/wp-content/uploads/2025/12/Directorio_Espacios-Culturales-2025_RC.pdf#page=255</t>
  </si>
  <si>
    <t>Dirección OCR: O'Higgins s/n, Lonquimay. Ficha PDF p. 255.</t>
  </si>
  <si>
    <t>CL-FUE-0354</t>
  </si>
  <si>
    <t>Espacio cultural (ficha 257)</t>
  </si>
  <si>
    <t>Lago Ranco</t>
  </si>
  <si>
    <t>https://ciudadania.cultura.gob.cl/wp-content/uploads/2025/12/Directorio_Espacios-Culturales-2025_RC.pdf#page=257</t>
  </si>
  <si>
    <t>Dirección OCR: ‘Ancud s/n, Lago Ranco. Ficha PDF p. 257.</t>
  </si>
  <si>
    <t>CL-FUE-0355</t>
  </si>
  <si>
    <t>Espacio cultural (ficha 258)</t>
  </si>
  <si>
    <t>Lanco</t>
  </si>
  <si>
    <t>Artesanía; Artes escénicas; Audiovisual; Danza; Patrimonio</t>
  </si>
  <si>
    <t>https://ciudadania.cultura.gob.cl/wp-content/uploads/2025/12/Directorio_Espacios-Culturales-2025_RC.pdf#page=258</t>
  </si>
  <si>
    <t>Dirección OCR: Arturo Prat 139, Lanco. Ficha PDF p. 258.</t>
  </si>
  <si>
    <t>CL-FUE-0356</t>
  </si>
  <si>
    <t>Corporacion Cultural Municipal Valdivia</t>
  </si>
  <si>
    <t>Artes escénicas; Artes visuales; Audiovisual; Educación artística; Literatura; Patrimonio</t>
  </si>
  <si>
    <t>https://ciudadania.cultura.gob.cl/wp-content/uploads/2025/12/Directorio_Espacios-Culturales-2025_RC.pdf#page=259</t>
  </si>
  <si>
    <t>Dirección OCR: Los Robles 04, Isla Teja, Valdivia. Ficha PDF p. 259.</t>
  </si>
  <si>
    <t>CL-FUE-0357</t>
  </si>
  <si>
    <t>Cine Club UACh</t>
  </si>
  <si>
    <t>U. Austral de Chile</t>
  </si>
  <si>
    <t>https://ciudadania.cultura.gob.cl/wp-content/uploads/2025/12/Directorio_Espacios-Culturales-2025_RC.pdf#page=260</t>
  </si>
  <si>
    <t>Dirección OCR: Campus Isla Teja S/N, U. Austral de Chile. Ficha PDF p. 260.</t>
  </si>
  <si>
    <t>CL-FUE-0358</t>
  </si>
  <si>
    <t>Espacio cultural (ficha 261)</t>
  </si>
  <si>
    <t>Paillaco</t>
  </si>
  <si>
    <t>https://ciudadania.cultura.gob.cl/wp-content/uploads/2025/12/Directorio_Espacios-Culturales-2025_RC.pdf#page=261</t>
  </si>
  <si>
    <t>Dirección OCR: Camilo Henriquez 257, Paillaco. Ficha PDF p. 261.</t>
  </si>
  <si>
    <t>CL-FUE-0359</t>
  </si>
  <si>
    <t>Cine y Teatro Municipal</t>
  </si>
  <si>
    <t>Rio Bueno</t>
  </si>
  <si>
    <t>https://ciudadania.cultura.gob.cl/wp-content/uploads/2025/12/Directorio_Espacios-Culturales-2025_RC.pdf#page=262</t>
  </si>
  <si>
    <t>Dirección OCR: Independencia s/n, Rio Bueno. Ficha PDF p. 262.</t>
  </si>
  <si>
    <t>CL-FUE-0360</t>
  </si>
  <si>
    <t>Casa de la Cultura de Mariquina</t>
  </si>
  <si>
    <t>Mariquina</t>
  </si>
  <si>
    <t>https://ciudadania.cultura.gob.cl/wp-content/uploads/2025/12/Directorio_Espacios-Culturales-2025_RC.pdf#page=263</t>
  </si>
  <si>
    <t>Dirección OCR: Carlos Acharan 184, Mariquina. Ficha PDF p. 263.</t>
  </si>
  <si>
    <t>CL-FUE-0361</t>
  </si>
  <si>
    <t>Corporacion Cultural de Osorno</t>
  </si>
  <si>
    <t>https://ciudadania.cultura.gob.cl/wp-content/uploads/2025/12/Directorio_Espacios-Culturales-2025_RC.pdf#page=264</t>
  </si>
  <si>
    <t>Dirección OCR: Manuel Antonio Matta 556. Ficha PDF p. 264.</t>
  </si>
  <si>
    <t>CL-FUE-0362</t>
  </si>
  <si>
    <t>Espacio cultural (ficha 265)</t>
  </si>
  <si>
    <t>https://ciudadania.cultura.gob.cl/wp-content/uploads/2025/12/Directorio_Espacios-Culturales-2025_RC.pdf#page=265</t>
  </si>
  <si>
    <t>Dirección OCR: Dr Fonck 326, Barrio Puerto, Melipulli, Puerto Montt. Ficha PDF p. 265.</t>
  </si>
  <si>
    <t>CL-FUE-0363</t>
  </si>
  <si>
    <t>Museo Historico Juan Pablo II de Puerto Montt</t>
  </si>
  <si>
    <t>https://ciudadania.cultura.gob.cl/wp-content/uploads/2025/12/Directorio_Espacios-Culturales-2025_RC.pdf#page=266</t>
  </si>
  <si>
    <t>Dirección OCR: Diego Portales 997. Ficha PDF p. 266.</t>
  </si>
  <si>
    <t>CL-FUE-0364</t>
  </si>
  <si>
    <t>Centro de Interpretacion Cultural</t>
  </si>
  <si>
    <t>https://ciudadania.cultura.gob.cl/wp-content/uploads/2025/12/Directorio_Espacios-Culturales-2025_RC.pdf#page=267</t>
  </si>
  <si>
    <t>Dirección OCR: Rancagua 210, Puerto Montt. Ficha PDF p. 267.</t>
  </si>
  <si>
    <t>CL-FUE-0365</t>
  </si>
  <si>
    <t>Centro Cultural Los Muermos</t>
  </si>
  <si>
    <t>Los Muermos</t>
  </si>
  <si>
    <t>https://ciudadania.cultura.gob.cl/wp-content/uploads/2025/12/Directorio_Espacios-Culturales-2025_RC.pdf#page=268</t>
  </si>
  <si>
    <t>Dirección OCR: Calle Bernardo O'Higgins s/n, Los Muermos. Ficha PDF p. 268.</t>
  </si>
  <si>
    <t>CL-FUE-0366</t>
  </si>
  <si>
    <t>Ilustre Municipalidad de Purranque</t>
  </si>
  <si>
    <t>Purranque</t>
  </si>
  <si>
    <t>https://ciudadania.cultura.gob.cl/wp-content/uploads/2025/12/Directorio_Espacios-Culturales-2025_RC.pdf#page=269</t>
  </si>
  <si>
    <t>Dirección OCR: 21 de Mayo 28, Purranque. Ficha PDF p. 269.</t>
  </si>
  <si>
    <t>CL-FUE-0367</t>
  </si>
  <si>
    <t>https://ciudadania.cultura.gob.cl/wp-content/uploads/2025/12/Directorio_Espacios-Culturales-2025_RC.pdf#page=270</t>
  </si>
  <si>
    <t>Dirección OCR: Avenida Gramado 1100, Puerto Varas. Ficha PDF p. 270.</t>
  </si>
  <si>
    <t>CL-FUE-0368</t>
  </si>
  <si>
    <t>Espacio cultural (ficha 271)</t>
  </si>
  <si>
    <t>https://ciudadania.cultura.gob.cl/wp-content/uploads/2025/12/Directorio_Espacios-Culturales-2025_RC.pdf#page=271</t>
  </si>
  <si>
    <t>Dirección OCR: Francisco Bilbao 365, Puerto Montt. Ficha PDF p. 271.</t>
  </si>
  <si>
    <t>CL-FUE-0369</t>
  </si>
  <si>
    <t>Espacio cultural (ficha 272)</t>
  </si>
  <si>
    <t>Artes escénicas; Artes visuales; Patrimonio</t>
  </si>
  <si>
    <t>https://ciudadania.cultura.gob.cl/wp-content/uploads/2025/12/Directorio_Espacios-Culturales-2025_RC.pdf#page=272</t>
  </si>
  <si>
    <t>Dirección OCR: Quillota 116, Puerto Montt. Ficha PDF p. 272.</t>
  </si>
  <si>
    <t>CL-FUE-0370</t>
  </si>
  <si>
    <t>Centro Cultural Bosque Nativo</t>
  </si>
  <si>
    <t>Artes visuales; Música; Patrimonio</t>
  </si>
  <si>
    <t>https://ciudadania.cultura.gob.cl/wp-content/uploads/2025/12/Directorio_Espacios-Culturales-2025_RC.pdf#page=273</t>
  </si>
  <si>
    <t>Dirección OCR: Vicente Pérez Rosales 1305, Puerto Varas. Ficha PDF p. 273.</t>
  </si>
  <si>
    <t>CL-FUE-0371</t>
  </si>
  <si>
    <t>Espacio cultural (ficha 274)</t>
  </si>
  <si>
    <t>Artes escénicas; Danza; Literatura; Música; Teatro</t>
  </si>
  <si>
    <t>https://ciudadania.cultura.gob.cl/wp-content/uploads/2025/12/Directorio_Espacios-Culturales-2025_RC.pdf#page=274</t>
  </si>
  <si>
    <t>Dirección OCR: Urriola 899, Puerto Montt. Ficha PDF p. 274.</t>
  </si>
  <si>
    <t>CL-FUE-0372</t>
  </si>
  <si>
    <t>Corporaci6on Cultural Grupo Arte</t>
  </si>
  <si>
    <t>https://ciudadania.cultura.gob.cl/wp-content/uploads/2025/12/Directorio_Espacios-Culturales-2025_RC.pdf#page=275</t>
  </si>
  <si>
    <t>Dirección OCR: Manuel Antonio Matta 812, Osorno. Ficha PDF p. 275.</t>
  </si>
  <si>
    <t>CL-FUE-0373</t>
  </si>
  <si>
    <t>Espacio cultural (ficha 276)</t>
  </si>
  <si>
    <t>Ancud</t>
  </si>
  <si>
    <t>https://ciudadania.cultura.gob.cl/wp-content/uploads/2025/12/Directorio_Espacios-Culturales-2025_RC.pdf#page=276</t>
  </si>
  <si>
    <t>Dirección OCR: Libertad 663, Ancud. Ficha PDF p. 276.</t>
  </si>
  <si>
    <t>CL-FUE-0374</t>
  </si>
  <si>
    <t>Centro Cultural Municipal de Alerce (CCMA)</t>
  </si>
  <si>
    <t>Alerce</t>
  </si>
  <si>
    <t>https://ciudadania.cultura.gob.cl/wp-content/uploads/2025/12/Directorio_Espacios-Culturales-2025_RC.pdf#page=277</t>
  </si>
  <si>
    <t>Dirección OCR: Gabriela Mistral 1004, Alerce. Ficha PDF p. 277.</t>
  </si>
  <si>
    <t>CL-FUE-0375</t>
  </si>
  <si>
    <t>Mercado Tipico de Hornopirén</t>
  </si>
  <si>
    <t>Hualaihué</t>
  </si>
  <si>
    <t>https://ciudadania.cultura.gob.cl/wp-content/uploads/2025/12/Directorio_Espacios-Culturales-2025_RC.pdf#page=278</t>
  </si>
  <si>
    <t>Dirección OCR: Bernardo O'Higgins s/n, Hualaihué. Ficha PDF p. 278.</t>
  </si>
  <si>
    <t>CL-FUE-0376</t>
  </si>
  <si>
    <t>Complejo Intercultural de Fresia</t>
  </si>
  <si>
    <t>https://ciudadania.cultura.gob.cl/wp-content/uploads/2025/12/Directorio_Espacios-Culturales-2025_RC.pdf#page=279</t>
  </si>
  <si>
    <t>Dirección OCR: Ruta V300 Camino a Rio Frio, Ancud. Ficha PDF p. 279.</t>
  </si>
  <si>
    <t>CL-FUE-0377</t>
  </si>
  <si>
    <t>Casa de la Cultura de Futaleufu</t>
  </si>
  <si>
    <t>Futaleuft:</t>
  </si>
  <si>
    <t>https://ciudadania.cultura.gob.cl/wp-content/uploads/2025/12/Directorio_Espacios-Culturales-2025_RC.pdf#page=280</t>
  </si>
  <si>
    <t>Dirección OCR: Balmaceda 900, Futaleuft:. Ficha PDF p. 280.</t>
  </si>
  <si>
    <t>CL-FUE-0378</t>
  </si>
  <si>
    <t>Espacio cultural (ficha 281)</t>
  </si>
  <si>
    <t>Cochrane</t>
  </si>
  <si>
    <t>https://ciudadania.cultura.gob.cl/wp-content/uploads/2025/12/Directorio_Espacios-Culturales-2025_RC.pdf#page=281</t>
  </si>
  <si>
    <t>Dirección OCR: San Valentin 555, Cochrane. Ficha PDF p. 281.</t>
  </si>
  <si>
    <t>CL-FUE-0379</t>
  </si>
  <si>
    <t>La Polilla</t>
  </si>
  <si>
    <t>Villa Maftihuales</t>
  </si>
  <si>
    <t>https://ciudadania.cultura.gob.cl/wp-content/uploads/2025/12/Directorio_Espacios-Culturales-2025_RC.pdf#page=282</t>
  </si>
  <si>
    <t>Dirección OCR: Caupolicén145, Villa Maftihuales. Ficha PDF p. 282.</t>
  </si>
  <si>
    <t>CL-FUE-0380</t>
  </si>
  <si>
    <t>Corporacion Cultural Municipal de Coyhaique</t>
  </si>
  <si>
    <t>https://ciudadania.cultura.gob.cl/wp-content/uploads/2025/12/Directorio_Espacios-Culturales-2025_RC.pdf#page=283</t>
  </si>
  <si>
    <t>Dirección OCR: Eusebio Lillo 23, Coyhaique. Ficha PDF p. 283.</t>
  </si>
  <si>
    <t>CL-FUE-0381</t>
  </si>
  <si>
    <t>Espacio cultural (ficha 284)</t>
  </si>
  <si>
    <t>Puerto Natales</t>
  </si>
  <si>
    <t>https://ciudadania.cultura.gob.cl/wp-content/uploads/2025/12/Directorio_Espacios-Culturales-2025_RC.pdf#page=284</t>
  </si>
  <si>
    <t>Dirección OCR: Pedro Montt 800, Puerto Natales. Ficha PDF p. 284.</t>
  </si>
  <si>
    <t>CL-FUE-0382</t>
  </si>
  <si>
    <t>Espacio cultural (ficha 285)</t>
  </si>
  <si>
    <t>https://ciudadania.cultura.gob.cl/wp-content/uploads/2025/12/Directorio_Espacios-Culturales-2025_RC.pdf#page=285</t>
  </si>
  <si>
    <t>Dirección OCR: José Joaquin Pérez 04311, Punta Arenas. Ficha PDF p. 285.</t>
  </si>
  <si>
    <t>CL-FUE-0383</t>
  </si>
  <si>
    <t>Espacio Comunitario La Idea</t>
  </si>
  <si>
    <t>https://ciudadania.cultura.gob.cl/wp-content/uploads/2025/12/Directorio_Espacios-Culturales-2025_RC.pdf#page=286</t>
  </si>
  <si>
    <t>Dirección OCR: Mejicana 252. Punta Arenas. Ficha PDF p. 286.</t>
  </si>
  <si>
    <t>CL-FUE-0384</t>
  </si>
  <si>
    <t>Espacio Cultural Zur Vértice</t>
  </si>
  <si>
    <t>https://ciudadania.cultura.gob.cl/wp-content/uploads/2025/12/Directorio_Espacios-Culturales-2025_RC.pdf#page=287</t>
  </si>
  <si>
    <t>Dirección OCR: Chiloé 152, Punta Arenas. Ficha PDF p. 287.</t>
  </si>
  <si>
    <t>CL-FUE-0385</t>
  </si>
  <si>
    <t>https://ciudadania.cultura.gob.cl/wp-content/uploads/2025/12/Directorio_Espacios-Culturales-2025_RC.pdf#page=288</t>
  </si>
  <si>
    <t>Dirección OCR: 21 de mayo 2421, Punta Arenas. Ficha PDF p. 288.</t>
  </si>
  <si>
    <t>CL-FUE-0386</t>
  </si>
  <si>
    <t>Casa Azul del Arte de Punta Arenas</t>
  </si>
  <si>
    <t>https://ciudadania.cultura.gob.cl/wp-content/uploads/2025/12/Directorio_Espacios-Culturales-2025_RC.pdf#page=289</t>
  </si>
  <si>
    <t>Dirección OCR: Avenida Espafia 1672, Punta Arenas. Ficha PDF p. 289.</t>
  </si>
  <si>
    <t>CL-FUE-0387</t>
  </si>
  <si>
    <t>Teatro Municipal José Bohr</t>
  </si>
  <si>
    <t>https://ciudadania.cultura.gob.cl/wp-content/uploads/2025/12/Directorio_Espacios-Culturales-2025_RC.pdf#page=290</t>
  </si>
  <si>
    <t>Dirección OCR: Magallanes 823, Punta Arenas. Ficha PDF p. 290.</t>
  </si>
  <si>
    <t>CL-FUE-0388</t>
  </si>
  <si>
    <t>Espacio Cultural Escarabajo Galeria y Taller</t>
  </si>
  <si>
    <t>https://ciudadania.cultura.gob.cl/wp-content/uploads/2025/12/Directorio_Espacios-Culturales-2025_RC.pdf#page=291</t>
  </si>
  <si>
    <t>Dirección OCR: O'Higgins 1013, 2° piso, Punta Arenas. Ficha PDF p. 291.</t>
  </si>
  <si>
    <t>CL-FUE-0389</t>
  </si>
  <si>
    <t>Biblioteca Municipal de San Gregorio</t>
  </si>
  <si>
    <t>San Gregorio</t>
  </si>
  <si>
    <t>https://ciudadania.cultura.gob.cl/wp-content/uploads/2025/12/Directorio_Espacios-Culturales-2025_RC.pdf#page=292</t>
  </si>
  <si>
    <t>Dirección OCR: Av. Bernardo O'Higgins s/n, San Gregorio. Ficha PDF p. 292.</t>
  </si>
  <si>
    <t>CL-FUE-0390</t>
  </si>
  <si>
    <t>Municipalidad de Torres del Paine</t>
  </si>
  <si>
    <t>https://ciudadania.cultura.gob.cl/wp-content/uploads/2025/12/Directorio_Espacios-Culturales-2025_RC.pdf#page=293</t>
  </si>
  <si>
    <t>Dirección OCR: Av. Bernardo O'Higgins 208. Ficha PDF p. 293.</t>
  </si>
  <si>
    <t>CL-FUE-0391</t>
  </si>
  <si>
    <t>Corporación Cultural de Iquique</t>
  </si>
  <si>
    <t>Corporación cultural</t>
  </si>
  <si>
    <t>Cartelera institucional</t>
  </si>
  <si>
    <t>https://culturaiquique.cl/</t>
  </si>
  <si>
    <t>Revisión de integración 31-10-2026: configuración habilitada; 1 registros publicados no suprimidos en Supabase. Con aporte publicado. Los puntajes y la auditoría técnica anteriores no se recalcularon. Antecedente: Extracción real verificada: dos eventos vigentes con fichas oficiales.</t>
  </si>
  <si>
    <t>Operativa: programación institucional accesible de Iquique y la Región de Tarapacá.</t>
  </si>
  <si>
    <t>CL-FUE-0392</t>
  </si>
  <si>
    <t>FondasChile · Septiembre</t>
  </si>
  <si>
    <t>FondasChile</t>
  </si>
  <si>
    <t>Cartelera cultural estacional</t>
  </si>
  <si>
    <t>Fiestas tradicionales; Música; Gastronomía patrimonial</t>
  </si>
  <si>
    <t>Cartelera estacional</t>
  </si>
  <si>
    <t>https://www.fondaschile.cl/</t>
  </si>
  <si>
    <t>Revisión de integración 31-10-2026: configuración habilitada; 0 registros publicados no suprimidos en Supabase. Estacional fuera de mes. Solo se ejecuta en septiembre. Los puntajes y la auditoría técnica anteriores no se recalcularon. Antecedente: Integración activa únicamente durante septiembre mediante active_months.</t>
  </si>
  <si>
    <t>Operativa en septiembre: fondas y actividades de Fiestas Patrias con cobertura nacional.</t>
  </si>
  <si>
    <t>Estacional fuera de mes</t>
  </si>
  <si>
    <t>CL-FUE-0393</t>
  </si>
  <si>
    <t>Teatro Regional Cervantes</t>
  </si>
  <si>
    <t>Catálogo público</t>
  </si>
  <si>
    <t>https://www.teatroregionalcervantes.cl/cartelera/</t>
  </si>
  <si>
    <t>Revisión de integración 31-10-2026: configuración habilitada; 14 registros publicados no suprimidos en Supabase. Con aporte publicado. Los puntajes y la auditoría técnica anteriores no se recalcularon. Antecedente:</t>
  </si>
  <si>
    <t>CL-FUE-0394</t>
  </si>
  <si>
    <t>Teatro del Lago</t>
  </si>
  <si>
    <t>Frutillar</t>
  </si>
  <si>
    <t>https://teatrodellago.cl/agenda-eventos/</t>
  </si>
  <si>
    <t>Retirada del scraper por HTTP 403 desde GitHub Actions; no se vuelve a consultar. Los puntajes anteriores, si existen, son históricos.</t>
  </si>
  <si>
    <t>Bloqueo HTTP 403; sustituida el 28-10-2026.</t>
  </si>
  <si>
    <t>CL-FUE-0395</t>
  </si>
  <si>
    <t>Teatro Oriente</t>
  </si>
  <si>
    <t>https://teatrooriente.cl/cartelera-eventos/</t>
  </si>
  <si>
    <t>Criterios, alcance y trazabilidad</t>
  </si>
  <si>
    <t>Metodología para mantener el inventario y evitar que el porcentaje de avance sea engañoso.</t>
  </si>
  <si>
    <t>Concepto</t>
  </si>
  <si>
    <t>Definición / regla</t>
  </si>
  <si>
    <t>Fuente digital evaluable</t>
  </si>
  <si>
    <t>Sitio, API, calendario, cartelera, tiquetera o agenda recurrente con una URL pública que puede comprobarse.</t>
  </si>
  <si>
    <t>Cumple acceso, contenido compatible, relevancia cultural, cobertura chilena y señales suficientes de una agenda recurrente. Puede avanzar a diseño de conector.</t>
  </si>
  <si>
    <t>La fuente puede ser válida, pero depende de JavaScript, presenta bloqueo temporal, agotó el tiempo o no mostró evidencia suficiente para una decisión automática.</t>
  </si>
  <si>
    <t>No debe incorporarse al scraping automático en su estado actual. Incluye URLs muertas, contenido no cultural, páginas estacionadas o prohibición expresa de robots.txt.</t>
  </si>
  <si>
    <t>Espacio cultural sin URL de eventos identificada. Se conserva como pista territorial y no se cuenta como fuente digital evaluada.</t>
  </si>
  <si>
    <t>Estado de integración actual</t>
  </si>
  <si>
    <t>Estado actual de integración según los JSON del scraper. Una configuración habilitada no demuestra por sí sola una extracción completa o eventos vigentes.</t>
  </si>
  <si>
    <t>Porcentaje aprobado</t>
  </si>
  <si>
    <t>Aprobación técnica registrada / fuentes digitales elegibles. Las referencias territoriales, retiradas y configuraciones reemplazadas no forman parte del denominador.</t>
  </si>
  <si>
    <t>Ámbito cultural incluido</t>
  </si>
  <si>
    <t>Música, teatro, danza, circo, cine, artes visuales, literatura, patrimonio, museos, artesanía, diseño, cultura comunitaria, pueblos originarios, vendimias, gastronomía patrimonial, ferias y exposiciones culturales.</t>
  </si>
  <si>
    <t>Fecha de revisión</t>
  </si>
  <si>
    <t>Inventario e integración revisados: 31-10-2026. La columna Auditada el conserva la fecha de la evaluación técnica original; no se ejecutó otra auditoría completa.</t>
  </si>
  <si>
    <t>Alcance legal</t>
  </si>
  <si>
    <t>La aprobación es técnica. robots.txt y accesibilidad no constituyen por sí solos una licencia de reutilización; los términos de uso deben comprobarse antes de la operación permanente.</t>
  </si>
  <si>
    <t>Limitación</t>
  </si>
  <si>
    <t>Las páginas cambian y algunas cargan datos solo en el navegador. Las fuentes en revisión manual requieren una inspección adicional antes de aprobarse o descartarse.</t>
  </si>
  <si>
    <t>Porcentaje de integración</t>
  </si>
  <si>
    <t>El avance de integración es configuradas y habilitadas / digitales elegibles. El aporte operativo es fuentes con registros publicados / habilitadas en el mes. No confundir ambos porcentajes.</t>
  </si>
  <si>
    <t>Referencia principal</t>
  </si>
  <si>
    <t>Uso en el inventario</t>
  </si>
  <si>
    <t>URL</t>
  </si>
  <si>
    <t>Agenda nacional oficial</t>
  </si>
  <si>
    <t>ChileAtiende · Chile Cultura</t>
  </si>
  <si>
    <t>Respaldo institucional y cobertura nacional</t>
  </si>
  <si>
    <t>https://www.chileatiende.gob.cl/fichas/77453-Chile-cultura</t>
  </si>
  <si>
    <t>Directorio Nacional de Espacios Culturales 2025</t>
  </si>
  <si>
    <t>Base territorial oficial de espacios culturales</t>
  </si>
  <si>
    <t>https://ciudadania.cultura.gob.cl/directorio_rc_1/</t>
  </si>
  <si>
    <t>PDF del Directorio Nacional</t>
  </si>
  <si>
    <t>Fichas OCR incluidas como referencias territoriales</t>
  </si>
  <si>
    <t>https://ciudadania.cultura.gob.cl/wp-content/uploads/2025/12/Directorio_Espacios-Culturales-2025_RC.pdf</t>
  </si>
  <si>
    <t>Agenda y calendario de vendimias</t>
  </si>
  <si>
    <t>Red de espacios de exhibición independiente</t>
  </si>
  <si>
    <t>Red sectorial de salas y carteleras</t>
  </si>
  <si>
    <t>Directorio de festivales audiovisuales</t>
  </si>
  <si>
    <t>Conteo de registros published con is_suppressed=false consultados en Supabase el 31-10-2026. No certifica vigencia horaria ni pertinencia de todos los casos en revisión.</t>
  </si>
  <si>
    <t>Fuentes estacionales</t>
  </si>
  <si>
    <t>FondasChile conserva su integración, pero solo se ejecuta en septiembre. En octubre se excluye del denominador de habilitadas del mes.</t>
  </si>
  <si>
    <t>Se conserva el puntaje histórico existente. Las incorporaciones sin auditoría comparable no reciben un puntaje inventado ni una aprobación automática.</t>
  </si>
  <si>
    <t>Retiradas y reemplazadas</t>
  </si>
  <si>
    <t>Rancagua Cultura, Teatro del Lago y Teatro Oriente están retiradas. Ticketplus Región Metropolitana es un antecedente reemplazado por Ticketplus Chile, no otra integración.</t>
  </si>
  <si>
    <t>Última ingesta exitosa</t>
  </si>
  <si>
    <t>El resumen conserva el conteo y la fecha de scrape_runs. Su duración corresponde a la publicación registrada, no al tiempo total del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</si>
</sst>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%"/>
    <numFmt numFmtId="166" formatCode="yyyy\-mm\-dd\ hh:mm"/>
    <numFmt numFmtId="167" formatCode="dd\-mm\-yyyy"/>
    <numFmt numFmtId="168" formatCode="dd\-mm\-yyyy\ hh:mm"/>
  </numFmts>
  <fonts count="12">
    <font>
      <sz val="11"/>
      <name val="Carlito"/>
    </font>
    <font>
      <sz val="10"/>
      <color rgb="FF24313B"/>
      <name val="Aptos"/>
    </font>
    <font>
      <b/>
      <sz val="10"/>
      <color rgb="FFFFFFFF"/>
      <name val="Aptos"/>
    </font>
    <font>
      <sz val="9"/>
      <color rgb="FF0563C1"/>
      <name val="Aptos"/>
    </font>
    <font>
      <b/>
      <sz val="20"/>
      <color rgb="FF15324B"/>
      <name val="Aptos"/>
    </font>
    <font>
      <i/>
      <sz val="10"/>
      <color rgb="FF5B6670"/>
      <name val="Aptos"/>
    </font>
    <font>
      <b/>
      <sz val="14"/>
      <color rgb="FF087E8B"/>
      <name val="Aptos"/>
    </font>
    <font>
      <b/>
      <sz val="19"/>
      <color rgb="FF15324B"/>
      <name val="Aptos"/>
    </font>
    <font>
      <b/>
      <sz val="10"/>
      <color rgb="FF15324B"/>
      <name val="Aptos"/>
    </font>
    <font>
      <sz val="9"/>
      <color rgb="FF24313B"/>
      <name val="Aptos"/>
    </font>
    <font>
      <sz val="10"/>
      <color rgb="FF52616B"/>
      <name val="Arial"/>
    </font>
    <font>
      <sz val="10"/>
      <color rgb="FF24313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5324B"/>
      </patternFill>
    </fill>
    <fill>
      <patternFill patternType="solid">
        <fgColor rgb="FFF3F5F7"/>
      </patternFill>
    </fill>
    <fill>
      <patternFill patternType="solid">
        <fgColor rgb="FFE8F0F6"/>
      </patternFill>
    </fill>
    <fill>
      <patternFill patternType="solid">
        <fgColor rgb="FFFFFFFF"/>
      </patternFill>
    </fill>
    <fill>
      <patternFill patternType="solid">
        <fgColor rgb="FF087E8B"/>
      </patternFill>
    </fill>
    <fill>
      <patternFill patternType="solid">
        <fgColor rgb="FFDFF3F4"/>
      </patternFill>
    </fill>
    <fill>
      <patternFill patternType="solid">
        <fgColor rgb="FF15324B"/>
      </patternFill>
    </fill>
    <fill>
      <patternFill patternType="solid">
        <fgColor rgb="FFE8F0F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6DCE2"/>
      </bottom>
      <diagonal/>
    </border>
    <border>
      <left style="thin">
        <color rgb="FFD6DCE2"/>
      </left>
      <right/>
      <top style="thin">
        <color rgb="FFD6DCE2"/>
      </top>
      <bottom/>
      <diagonal/>
    </border>
    <border>
      <left/>
      <right style="thin">
        <color rgb="FFD6DCE2"/>
      </right>
      <top style="thin">
        <color rgb="FFD6DCE2"/>
      </top>
      <bottom/>
      <diagonal/>
    </border>
    <border>
      <left style="thin">
        <color rgb="FFD6DCE2"/>
      </left>
      <right/>
      <top/>
      <bottom/>
      <diagonal/>
    </border>
    <border>
      <left/>
      <right style="thin">
        <color rgb="FFD6DCE2"/>
      </right>
      <top/>
      <bottom/>
      <diagonal/>
    </border>
    <border>
      <left style="thin">
        <color rgb="FFD6DCE2"/>
      </left>
      <right/>
      <top/>
      <bottom style="thin">
        <color rgb="FFD6DCE2"/>
      </bottom>
      <diagonal/>
    </border>
    <border>
      <left/>
      <right style="thin">
        <color rgb="FFD6DCE2"/>
      </right>
      <top/>
      <bottom style="thin">
        <color rgb="FFD6DCE2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1" fillId="4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1" fillId="4" borderId="4" xfId="0" applyFont="1" applyFill="1" applyBorder="1"/>
    <xf numFmtId="0" fontId="6" fillId="5" borderId="5" xfId="0" applyFont="1" applyFill="1" applyBorder="1" applyAlignment="1">
      <alignment horizontal="center"/>
    </xf>
    <xf numFmtId="0" fontId="1" fillId="4" borderId="6" xfId="0" applyFont="1" applyFill="1" applyBorder="1"/>
    <xf numFmtId="165" fontId="6" fillId="5" borderId="7" xfId="0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0" fontId="2" fillId="6" borderId="0" xfId="0" applyFont="1" applyFill="1"/>
    <xf numFmtId="0" fontId="8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8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vertical="top" wrapText="1"/>
    </xf>
    <xf numFmtId="1" fontId="9" fillId="0" borderId="0" xfId="0" applyNumberFormat="1" applyFont="1" applyAlignment="1">
      <alignment vertical="top" wrapText="1"/>
    </xf>
    <xf numFmtId="1" fontId="9" fillId="0" borderId="1" xfId="0" applyNumberFormat="1" applyFont="1" applyBorder="1" applyAlignment="1">
      <alignment vertical="top" wrapText="1"/>
    </xf>
    <xf numFmtId="166" fontId="9" fillId="0" borderId="0" xfId="0" applyNumberFormat="1" applyFont="1" applyAlignment="1">
      <alignment vertical="top" wrapText="1"/>
    </xf>
    <xf numFmtId="166" fontId="9" fillId="0" borderId="1" xfId="0" applyNumberFormat="1" applyFont="1" applyBorder="1" applyAlignment="1">
      <alignment vertical="top" wrapText="1"/>
    </xf>
    <xf numFmtId="0" fontId="2" fillId="8" borderId="0" xfId="0" applyFont="1" applyFill="1" applyAlignment="1">
      <alignment horizontal="center" vertical="center" wrapText="1"/>
    </xf>
    <xf numFmtId="0" fontId="2" fillId="8" borderId="2" xfId="0" applyFont="1" applyFill="1" applyBorder="1"/>
    <xf numFmtId="0" fontId="2" fillId="8" borderId="3" xfId="0" applyFont="1" applyFill="1" applyBorder="1"/>
    <xf numFmtId="0" fontId="1" fillId="9" borderId="4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  <xf numFmtId="0" fontId="6" fillId="10" borderId="5" xfId="0" applyFont="1" applyFill="1" applyBorder="1" applyAlignment="1">
      <alignment horizontal="center"/>
    </xf>
    <xf numFmtId="0" fontId="8" fillId="9" borderId="0" xfId="0" applyFont="1" applyFill="1" applyAlignment="1">
      <alignment wrapText="1"/>
    </xf>
    <xf numFmtId="165" fontId="6" fillId="5" borderId="5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3" fontId="9" fillId="0" borderId="0" xfId="0" applyNumberFormat="1" applyFont="1" applyAlignment="1">
      <alignment vertical="top" wrapText="1"/>
    </xf>
    <xf numFmtId="3" fontId="9" fillId="0" borderId="1" xfId="0" applyNumberFormat="1" applyFont="1" applyBorder="1" applyAlignment="1">
      <alignment vertical="top" wrapText="1"/>
    </xf>
    <xf numFmtId="3" fontId="0" fillId="0" borderId="0" xfId="0" applyNumberFormat="1"/>
    <xf numFmtId="167" fontId="1" fillId="0" borderId="0" xfId="0" applyNumberFormat="1" applyFont="1" applyAlignment="1">
      <alignment vertical="top" wrapText="1"/>
    </xf>
    <xf numFmtId="167" fontId="1" fillId="0" borderId="0" xfId="0" applyNumberFormat="1" applyFont="1"/>
    <xf numFmtId="0" fontId="1" fillId="4" borderId="6" xfId="0" applyFont="1" applyFill="1" applyBorder="1" applyAlignment="1">
      <alignment wrapText="1"/>
    </xf>
    <xf numFmtId="3" fontId="6" fillId="5" borderId="7" xfId="0" applyNumberFormat="1" applyFont="1" applyFill="1" applyBorder="1" applyAlignment="1">
      <alignment horizontal="center"/>
    </xf>
    <xf numFmtId="1" fontId="6" fillId="5" borderId="7" xfId="0" applyNumberFormat="1" applyFont="1" applyFill="1" applyBorder="1" applyAlignment="1">
      <alignment horizontal="center"/>
    </xf>
    <xf numFmtId="0" fontId="11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wrapText="1"/>
    </xf>
    <xf numFmtId="0" fontId="2" fillId="6" borderId="0" xfId="0" applyFont="1" applyFill="1"/>
    <xf numFmtId="0" fontId="1" fillId="7" borderId="0" xfId="0" applyFont="1" applyFill="1" applyAlignment="1">
      <alignment vertical="top" wrapText="1"/>
    </xf>
    <xf numFmtId="168" fontId="6" fillId="5" borderId="7" xfId="0" applyNumberFormat="1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8">
    <dxf>
      <font>
        <color rgb="FF583D8C"/>
      </font>
      <fill>
        <patternFill>
          <bgColor rgb="FFEEE8FA"/>
        </patternFill>
      </fill>
    </dxf>
    <dxf>
      <font>
        <b/>
        <color rgb="FF9C2723"/>
      </font>
      <fill>
        <patternFill>
          <bgColor rgb="FFFCE0DF"/>
        </patternFill>
      </fill>
    </dxf>
    <dxf>
      <font>
        <b/>
        <color rgb="FF7A5700"/>
      </font>
      <fill>
        <patternFill>
          <bgColor rgb="FFFFF0C7"/>
        </patternFill>
      </fill>
    </dxf>
    <dxf>
      <font>
        <b/>
        <color rgb="FF176B3A"/>
      </font>
      <fill>
        <patternFill>
          <bgColor rgb="FFDDF3E4"/>
        </patternFill>
      </fill>
    </dxf>
    <dxf>
      <font>
        <color rgb="FF583D8C"/>
      </font>
      <fill>
        <patternFill>
          <bgColor rgb="FFEEE8FA"/>
        </patternFill>
      </fill>
    </dxf>
    <dxf>
      <font>
        <color rgb="FF15324B"/>
      </font>
      <fill>
        <patternFill>
          <bgColor rgb="FFDFF3F4"/>
        </patternFill>
      </fill>
    </dxf>
    <dxf>
      <font>
        <b/>
        <color rgb="FF7A5700"/>
      </font>
      <fill>
        <patternFill>
          <bgColor rgb="FFFFF0C7"/>
        </patternFill>
      </fill>
    </dxf>
    <dxf>
      <font>
        <b/>
        <color rgb="FF176B3A"/>
      </font>
      <fill>
        <patternFill>
          <bgColor rgb="FFDD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FuentesChile" displayName="TablaFuentesChile" ref="A1:AB396" totalsRowShown="0">
  <autoFilter ref="A1:AB396" xr:uid="{00000000-0009-0000-0100-000001000000}"/>
  <tableColumns count="28">
    <tableColumn id="1" xr3:uid="{00000000-0010-0000-0000-000001000000}" name="ID"/>
    <tableColumn id="2" xr3:uid="{00000000-0010-0000-0000-000002000000}" name="Fuente"/>
    <tableColumn id="3" xr3:uid="{00000000-0010-0000-0000-000003000000}" name="Institución responsable"/>
    <tableColumn id="4" xr3:uid="{00000000-0010-0000-0000-000004000000}" name="Tipo de fuente"/>
    <tableColumn id="5" xr3:uid="{00000000-0010-0000-0000-000005000000}" name="Cobertura"/>
    <tableColumn id="6" xr3:uid="{00000000-0010-0000-0000-000006000000}" name="Región"/>
    <tableColumn id="7" xr3:uid="{00000000-0010-0000-0000-000007000000}" name="Comuna"/>
    <tableColumn id="8" xr3:uid="{00000000-0010-0000-0000-000008000000}" name="Áreas culturales"/>
    <tableColumn id="9" xr3:uid="{00000000-0010-0000-0000-000009000000}" name="Canal de publicación"/>
    <tableColumn id="10" xr3:uid="{00000000-0010-0000-0000-00000A000000}" name="URL de eventos"/>
    <tableColumn id="11" xr3:uid="{00000000-0010-0000-0000-00000B000000}" name="URL de respaldo / evidencia"/>
    <tableColumn id="12" xr3:uid="{00000000-0010-0000-0000-00000C000000}" name="Estado de integración"/>
    <tableColumn id="13" xr3:uid="{00000000-0010-0000-0000-00000D000000}" name="Elegible para porcentaje"/>
    <tableColumn id="14" xr3:uid="{00000000-0010-0000-0000-00000E000000}" name="Prioridad"/>
    <tableColumn id="15" xr3:uid="{00000000-0010-0000-0000-00000F000000}" name="Método potencial"/>
    <tableColumn id="16" xr3:uid="{00000000-0010-0000-0000-000010000000}" name="Verificada el"/>
    <tableColumn id="17" xr3:uid="{00000000-0010-0000-0000-000011000000}" name="Observaciones"/>
    <tableColumn id="18" xr3:uid="{00000000-0010-0000-0000-000012000000}" name="Decisión para integración"/>
    <tableColumn id="19" xr3:uid="{00000000-0010-0000-0000-000013000000}" name="Puntaje técnico"/>
    <tableColumn id="20" xr3:uid="{00000000-0010-0000-0000-000014000000}" name="Confianza"/>
    <tableColumn id="21" xr3:uid="{00000000-0010-0000-0000-000015000000}" name="Estado HTTP"/>
    <tableColumn id="22" xr3:uid="{00000000-0010-0000-0000-000016000000}" name="robots.txt"/>
    <tableColumn id="23" xr3:uid="{00000000-0010-0000-0000-000017000000}" name="URL final validada"/>
    <tableColumn id="24" xr3:uid="{00000000-0010-0000-0000-000018000000}" name="Auditada el"/>
    <tableColumn id="25" xr3:uid="{00000000-0010-0000-0000-000019000000}" name="Motivo principal"/>
    <tableColumn id="26" xr3:uid="{00000000-0010-0000-0000-00001A000000}" name="Publicados al corte"/>
    <tableColumn id="27" xr3:uid="{00000000-0010-0000-0000-00001B000000}" name="Estado operativo al corte"/>
    <tableColumn id="28" xr3:uid="{00000000-0010-0000-0000-00001C000000}" name="Evidencia de integr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324B"/>
  </sheetPr>
  <dimension ref="A1:Q500"/>
  <sheetViews>
    <sheetView showGridLines="0" tabSelected="1" workbookViewId="0">
      <pane ySplit="2" topLeftCell="A3" activePane="bottomLeft" state="frozen"/>
      <selection pane="bottomLeft" sqref="A1:H1"/>
    </sheetView>
  </sheetViews>
  <sheetFormatPr baseColWidth="10" defaultColWidth="9" defaultRowHeight="14.25"/>
  <cols>
    <col min="1" max="1" width="47" customWidth="1"/>
    <col min="2" max="3" width="18" customWidth="1"/>
    <col min="4" max="4" width="35" customWidth="1"/>
    <col min="5" max="5" width="18" customWidth="1"/>
    <col min="6" max="6" width="38" customWidth="1"/>
    <col min="7" max="7" width="15" customWidth="1"/>
    <col min="8" max="8" width="17" customWidth="1"/>
  </cols>
  <sheetData>
    <row r="1" spans="1:17" ht="33.950000000000003" customHeight="1">
      <c r="A1" s="56" t="s">
        <v>0</v>
      </c>
      <c r="B1" s="57"/>
      <c r="C1" s="57"/>
      <c r="D1" s="57"/>
      <c r="E1" s="57"/>
      <c r="F1" s="57"/>
      <c r="G1" s="57"/>
      <c r="H1" s="57"/>
      <c r="I1" s="1"/>
      <c r="J1" s="1"/>
      <c r="K1" s="1"/>
      <c r="L1" s="1"/>
      <c r="M1" s="1"/>
      <c r="N1" s="1"/>
      <c r="O1" s="1"/>
      <c r="P1" s="1"/>
      <c r="Q1" s="1"/>
    </row>
    <row r="2" spans="1:17" ht="15">
      <c r="A2" s="58" t="s">
        <v>1</v>
      </c>
      <c r="B2" s="57"/>
      <c r="C2" s="57"/>
      <c r="D2" s="57"/>
      <c r="E2" s="57"/>
      <c r="F2" s="57"/>
      <c r="G2" s="57"/>
      <c r="H2" s="57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>
      <c r="A4" s="13" t="s">
        <v>2</v>
      </c>
      <c r="B4" s="14" t="s">
        <v>3</v>
      </c>
      <c r="C4" s="1"/>
      <c r="D4" s="13" t="s">
        <v>2</v>
      </c>
      <c r="E4" s="14" t="s">
        <v>3</v>
      </c>
      <c r="F4" s="38" t="s">
        <v>4</v>
      </c>
      <c r="G4" s="39" t="s">
        <v>3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3.950000000000003" customHeight="1">
      <c r="A5" s="15" t="s">
        <v>5</v>
      </c>
      <c r="B5" s="16">
        <f>COUNTA(Fuentes!$A$2:$A$396)</f>
        <v>395</v>
      </c>
      <c r="C5" s="1"/>
      <c r="D5" s="15" t="s">
        <v>6</v>
      </c>
      <c r="E5" s="16">
        <f>COUNTIF(Fuentes!$R$2:$R$396,"Revisión manual")</f>
        <v>38</v>
      </c>
      <c r="F5" s="40" t="s">
        <v>7</v>
      </c>
      <c r="G5" s="42">
        <f>COUNTIFS(Fuentes!$L$2:$L$396,"Integrada configurada")</f>
        <v>29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3.950000000000003" customHeight="1">
      <c r="A6" s="15" t="s">
        <v>8</v>
      </c>
      <c r="B6" s="16">
        <f>COUNTIFS(Fuentes!$M$2:$M$396,"Sí")</f>
        <v>105</v>
      </c>
      <c r="C6" s="1"/>
      <c r="D6" s="15" t="s">
        <v>9</v>
      </c>
      <c r="E6" s="16">
        <f>COUNTIF(Fuentes!$R$2:$R$396,"No aprobada")</f>
        <v>5</v>
      </c>
      <c r="F6" s="40" t="s">
        <v>10</v>
      </c>
      <c r="G6" s="42">
        <f>COUNTIFS(Fuentes!$L$2:$L$396,"Integrada configurada",Fuentes!$AA$2:$AA$396,"Con aporte publicado")</f>
        <v>23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33.950000000000003" customHeight="1">
      <c r="A7" s="15" t="s">
        <v>11</v>
      </c>
      <c r="B7" s="16">
        <f>COUNTIF(Fuentes!$R$2:$R$396,"Aprobada técnicamente")</f>
        <v>65</v>
      </c>
      <c r="C7" s="1"/>
      <c r="D7" s="15" t="s">
        <v>12</v>
      </c>
      <c r="E7" s="16">
        <f>COUNTIF(Fuentes!$R$2:$R$396,"Referencia sin agenda")</f>
        <v>287</v>
      </c>
      <c r="F7" s="40" t="s">
        <v>13</v>
      </c>
      <c r="G7" s="44">
        <f>IF(B6=0,0,G5/B6)</f>
        <v>0.27619047619047621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33.950000000000003" customHeight="1">
      <c r="A8" s="17" t="s">
        <v>14</v>
      </c>
      <c r="B8" s="18">
        <f>IF(B6=0,0,B7/B6)</f>
        <v>0.61904761904761907</v>
      </c>
      <c r="C8" s="1"/>
      <c r="D8" s="17" t="s">
        <v>15</v>
      </c>
      <c r="E8" s="19">
        <f>COUNTIF(B14:B29,"&gt;0")</f>
        <v>16</v>
      </c>
      <c r="F8" s="41" t="s">
        <v>16</v>
      </c>
      <c r="G8" s="18">
        <f>IF(G9=0,0,G6/G9)</f>
        <v>0.8214285714285714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.75">
      <c r="A9" s="17" t="s">
        <v>17</v>
      </c>
      <c r="B9" s="53">
        <f>SUM(Fuentes!$Z$2:$Z$396)</f>
        <v>2546</v>
      </c>
      <c r="C9" s="1"/>
      <c r="D9" s="17" t="s">
        <v>18</v>
      </c>
      <c r="E9" s="19">
        <f>COUNTIFS(Fuentes!$AA$2:$AA$396,"Estacional fuera de mes")</f>
        <v>1</v>
      </c>
      <c r="F9" s="52" t="s">
        <v>19</v>
      </c>
      <c r="G9" s="54">
        <f>G5-E9</f>
        <v>28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2" t="s">
        <v>20</v>
      </c>
      <c r="B11" s="2" t="s">
        <v>21</v>
      </c>
      <c r="C11" s="2" t="s">
        <v>22</v>
      </c>
      <c r="D11" s="2" t="s">
        <v>23</v>
      </c>
      <c r="E11" s="1"/>
      <c r="F11" s="2" t="s">
        <v>24</v>
      </c>
      <c r="G11" s="2" t="s">
        <v>25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" t="s">
        <v>26</v>
      </c>
      <c r="B12" s="21">
        <f>COUNTIF(Fuentes!$F$2:$F$396,A12)</f>
        <v>17</v>
      </c>
      <c r="C12" s="21">
        <f>COUNTIFS(Fuentes!$F$2:$F$396,A12,Fuentes!$M$2:$M$396,"Sí")</f>
        <v>17</v>
      </c>
      <c r="D12" s="21">
        <f>COUNTIFS(Fuentes!$F$2:$F$396,A12,Fuentes!$R$2:$R$396,"Aprobada técnicamente")</f>
        <v>8</v>
      </c>
      <c r="E12" s="1"/>
      <c r="F12" s="12" t="s">
        <v>23</v>
      </c>
      <c r="G12" s="21">
        <f>COUNTIF(Fuentes!$R$2:$R$396,F12)</f>
        <v>65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" t="s">
        <v>27</v>
      </c>
      <c r="B13" s="21">
        <f>COUNTIF(Fuentes!$F$2:$F$396,A13)</f>
        <v>6</v>
      </c>
      <c r="C13" s="21">
        <f>COUNTIFS(Fuentes!$F$2:$F$396,A13,Fuentes!$M$2:$M$396,"Sí")</f>
        <v>6</v>
      </c>
      <c r="D13" s="21">
        <f>COUNTIFS(Fuentes!$F$2:$F$396,A13,Fuentes!$R$2:$R$396,"Aprobada técnicamente")</f>
        <v>5</v>
      </c>
      <c r="E13" s="1"/>
      <c r="F13" s="12" t="s">
        <v>6</v>
      </c>
      <c r="G13" s="21">
        <f>COUNTIF(Fuentes!$R$2:$R$396,F13)</f>
        <v>38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" t="s">
        <v>28</v>
      </c>
      <c r="B14" s="21">
        <f>COUNTIF(Fuentes!$F$2:$F$396,A14)</f>
        <v>16</v>
      </c>
      <c r="C14" s="21">
        <f>COUNTIFS(Fuentes!$F$2:$F$396,A14,Fuentes!$M$2:$M$396,"Sí")</f>
        <v>2</v>
      </c>
      <c r="D14" s="21">
        <f>COUNTIFS(Fuentes!$F$2:$F$396,A14,Fuentes!$R$2:$R$396,"Aprobada técnicamente")</f>
        <v>1</v>
      </c>
      <c r="E14" s="1"/>
      <c r="F14" s="12" t="s">
        <v>29</v>
      </c>
      <c r="G14" s="21">
        <f>COUNTIF(Fuentes!$R$2:$R$396,F14)</f>
        <v>5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" t="s">
        <v>30</v>
      </c>
      <c r="B15" s="21">
        <f>COUNTIF(Fuentes!$F$2:$F$396,A15)</f>
        <v>16</v>
      </c>
      <c r="C15" s="21">
        <f>COUNTIFS(Fuentes!$F$2:$F$396,A15,Fuentes!$M$2:$M$396,"Sí")</f>
        <v>3</v>
      </c>
      <c r="D15" s="21">
        <f>COUNTIFS(Fuentes!$F$2:$F$396,A15,Fuentes!$R$2:$R$396,"Aprobada técnicamente")</f>
        <v>1</v>
      </c>
      <c r="E15" s="1"/>
      <c r="F15" s="23" t="s">
        <v>31</v>
      </c>
      <c r="G15" s="22">
        <f>COUNTIF(Fuentes!$R$2:$R$396,F15)</f>
        <v>287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" t="s">
        <v>32</v>
      </c>
      <c r="B16" s="21">
        <f>COUNTIF(Fuentes!$F$2:$F$396,A16)</f>
        <v>11</v>
      </c>
      <c r="C16" s="21">
        <f>COUNTIFS(Fuentes!$F$2:$F$396,A16,Fuentes!$M$2:$M$396,"Sí")</f>
        <v>3</v>
      </c>
      <c r="D16" s="21">
        <f>COUNTIFS(Fuentes!$F$2:$F$396,A16,Fuentes!$R$2:$R$396,"Aprobada técnicamente")</f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" t="s">
        <v>33</v>
      </c>
      <c r="B17" s="21">
        <f>COUNTIF(Fuentes!$F$2:$F$396,A17)</f>
        <v>11</v>
      </c>
      <c r="C17" s="21">
        <f>COUNTIFS(Fuentes!$F$2:$F$396,A17,Fuentes!$M$2:$M$396,"Sí")</f>
        <v>2</v>
      </c>
      <c r="D17" s="21">
        <f>COUNTIFS(Fuentes!$F$2:$F$396,A17,Fuentes!$R$2:$R$396,"Aprobada técnicamente")</f>
        <v>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" t="s">
        <v>34</v>
      </c>
      <c r="B18" s="21">
        <f>COUNTIF(Fuentes!$F$2:$F$396,A18)</f>
        <v>21</v>
      </c>
      <c r="C18" s="21">
        <f>COUNTIFS(Fuentes!$F$2:$F$396,A18,Fuentes!$M$2:$M$396,"Sí")</f>
        <v>4</v>
      </c>
      <c r="D18" s="21">
        <f>COUNTIFS(Fuentes!$F$2:$F$396,A18,Fuentes!$R$2:$R$396,"Aprobada técnicamente")</f>
        <v>1</v>
      </c>
      <c r="E18" s="1"/>
      <c r="F18" s="59" t="s">
        <v>35</v>
      </c>
      <c r="G18" s="57" t="s">
        <v>35</v>
      </c>
      <c r="H18" s="57" t="s">
        <v>35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" t="s">
        <v>36</v>
      </c>
      <c r="B19" s="21">
        <f>COUNTIF(Fuentes!$F$2:$F$396,A19)</f>
        <v>39</v>
      </c>
      <c r="C19" s="21">
        <f>COUNTIFS(Fuentes!$F$2:$F$396,A19,Fuentes!$M$2:$M$396,"Sí")</f>
        <v>8</v>
      </c>
      <c r="D19" s="21">
        <f>COUNTIFS(Fuentes!$F$2:$F$396,A19,Fuentes!$R$2:$R$396,"Aprobada técnicamente")</f>
        <v>7</v>
      </c>
      <c r="E19" s="1"/>
      <c r="F19" s="60" t="s">
        <v>37</v>
      </c>
      <c r="G19" s="60" t="s">
        <v>38</v>
      </c>
      <c r="H19" s="60" t="s">
        <v>38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" t="s">
        <v>39</v>
      </c>
      <c r="B20" s="21">
        <f>COUNTIF(Fuentes!$F$2:$F$396,A20)</f>
        <v>41</v>
      </c>
      <c r="C20" s="21">
        <f>COUNTIFS(Fuentes!$F$2:$F$396,A20,Fuentes!$M$2:$M$396,"Sí")</f>
        <v>26</v>
      </c>
      <c r="D20" s="21">
        <f>COUNTIFS(Fuentes!$F$2:$F$396,A20,Fuentes!$R$2:$R$396,"Aprobada técnicamente")</f>
        <v>19</v>
      </c>
      <c r="E20" s="1"/>
      <c r="F20" s="60" t="s">
        <v>38</v>
      </c>
      <c r="G20" s="60" t="s">
        <v>38</v>
      </c>
      <c r="H20" s="60" t="s">
        <v>38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" t="s">
        <v>40</v>
      </c>
      <c r="B21" s="21">
        <f>COUNTIF(Fuentes!$F$2:$F$396,A21)</f>
        <v>25</v>
      </c>
      <c r="C21" s="21">
        <f>COUNTIFS(Fuentes!$F$2:$F$396,A21,Fuentes!$M$2:$M$396,"Sí")</f>
        <v>3</v>
      </c>
      <c r="D21" s="21">
        <f>COUNTIFS(Fuentes!$F$2:$F$396,A21,Fuentes!$R$2:$R$396,"Aprobada técnicamente")</f>
        <v>2</v>
      </c>
      <c r="E21" s="1"/>
      <c r="F21" s="60" t="s">
        <v>38</v>
      </c>
      <c r="G21" s="60" t="s">
        <v>38</v>
      </c>
      <c r="H21" s="60" t="s">
        <v>38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" t="s">
        <v>41</v>
      </c>
      <c r="B22" s="21">
        <f>COUNTIF(Fuentes!$F$2:$F$396,A22)</f>
        <v>60</v>
      </c>
      <c r="C22" s="21">
        <f>COUNTIFS(Fuentes!$F$2:$F$396,A22,Fuentes!$M$2:$M$396,"Sí")</f>
        <v>3</v>
      </c>
      <c r="D22" s="21">
        <f>COUNTIFS(Fuentes!$F$2:$F$396,A22,Fuentes!$R$2:$R$396,"Aprobada técnicamente")</f>
        <v>2</v>
      </c>
      <c r="E22" s="1"/>
      <c r="F22" s="60" t="s">
        <v>38</v>
      </c>
      <c r="G22" s="60" t="s">
        <v>38</v>
      </c>
      <c r="H22" s="60" t="s">
        <v>38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" t="s">
        <v>42</v>
      </c>
      <c r="B23" s="21">
        <f>COUNTIF(Fuentes!$F$2:$F$396,A23)</f>
        <v>16</v>
      </c>
      <c r="C23" s="21">
        <f>COUNTIFS(Fuentes!$F$2:$F$396,A23,Fuentes!$M$2:$M$396,"Sí")</f>
        <v>2</v>
      </c>
      <c r="D23" s="21">
        <f>COUNTIFS(Fuentes!$F$2:$F$396,A23,Fuentes!$R$2:$R$396,"Aprobada técnicamente")</f>
        <v>1</v>
      </c>
      <c r="E23" s="1"/>
      <c r="F23" s="60" t="s">
        <v>38</v>
      </c>
      <c r="G23" s="60" t="s">
        <v>38</v>
      </c>
      <c r="H23" s="60" t="s">
        <v>38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ht="15">
      <c r="A24" s="1" t="s">
        <v>43</v>
      </c>
      <c r="B24" s="21">
        <f>COUNTIF(Fuentes!$F$2:$F$396,A24)</f>
        <v>34</v>
      </c>
      <c r="C24" s="21">
        <f>COUNTIFS(Fuentes!$F$2:$F$396,A24,Fuentes!$M$2:$M$396,"Sí")</f>
        <v>7</v>
      </c>
      <c r="D24" s="21">
        <f>COUNTIFS(Fuentes!$F$2:$F$396,A24,Fuentes!$R$2:$R$396,"Aprobada técnicamente")</f>
        <v>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>
      <c r="A25" s="1" t="s">
        <v>44</v>
      </c>
      <c r="B25" s="21">
        <f>COUNTIF(Fuentes!$F$2:$F$396,A25)</f>
        <v>27</v>
      </c>
      <c r="C25" s="21">
        <f>COUNTIFS(Fuentes!$F$2:$F$396,A25,Fuentes!$M$2:$M$396,"Sí")</f>
        <v>3</v>
      </c>
      <c r="D25" s="21">
        <f>COUNTIFS(Fuentes!$F$2:$F$396,A25,Fuentes!$R$2:$R$396,"Aprobada técnicamente")</f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>
      <c r="A26" s="1" t="s">
        <v>45</v>
      </c>
      <c r="B26" s="21">
        <f>COUNTIF(Fuentes!$F$2:$F$396,A26)</f>
        <v>11</v>
      </c>
      <c r="C26" s="21">
        <f>COUNTIFS(Fuentes!$F$2:$F$396,A26,Fuentes!$M$2:$M$396,"Sí")</f>
        <v>4</v>
      </c>
      <c r="D26" s="21">
        <f>COUNTIFS(Fuentes!$F$2:$F$396,A26,Fuentes!$R$2:$R$396,"Aprobada técnicamente")</f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>
      <c r="A27" s="1" t="s">
        <v>46</v>
      </c>
      <c r="B27" s="21">
        <f>COUNTIF(Fuentes!$F$2:$F$396,A27)</f>
        <v>23</v>
      </c>
      <c r="C27" s="21">
        <f>COUNTIFS(Fuentes!$F$2:$F$396,A27,Fuentes!$M$2:$M$396,"Sí")</f>
        <v>5</v>
      </c>
      <c r="D27" s="21">
        <f>COUNTIFS(Fuentes!$F$2:$F$396,A27,Fuentes!$R$2:$R$396,"Aprobada técnicamente")</f>
        <v>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>
      <c r="A28" s="1" t="s">
        <v>47</v>
      </c>
      <c r="B28" s="21">
        <f>COUNTIF(Fuentes!$F$2:$F$396,A28)</f>
        <v>6</v>
      </c>
      <c r="C28" s="21">
        <f>COUNTIFS(Fuentes!$F$2:$F$396,A28,Fuentes!$M$2:$M$396,"Sí")</f>
        <v>3</v>
      </c>
      <c r="D28" s="21">
        <f>COUNTIFS(Fuentes!$F$2:$F$396,A28,Fuentes!$R$2:$R$396,"Aprobada técnicamente")</f>
        <v>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>
      <c r="A29" s="20" t="s">
        <v>48</v>
      </c>
      <c r="B29" s="22">
        <f>COUNTIF(Fuentes!$F$2:$F$396,A29)</f>
        <v>13</v>
      </c>
      <c r="C29" s="22">
        <f>COUNTIFS(Fuentes!$F$2:$F$396,A29,Fuentes!$M$2:$M$396,"Sí")</f>
        <v>3</v>
      </c>
      <c r="D29" s="22">
        <f>COUNTIFS(Fuentes!$F$2:$F$396,A29,Fuentes!$R$2:$R$396,"Aprobada técnicamente")</f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.75">
      <c r="A31" s="17" t="s">
        <v>49</v>
      </c>
      <c r="B31" s="53">
        <v>2491</v>
      </c>
      <c r="C31" s="1"/>
      <c r="D31" s="17" t="s">
        <v>50</v>
      </c>
      <c r="E31" s="61">
        <v>46325.264446967594</v>
      </c>
      <c r="F31" s="57"/>
      <c r="G31" s="57"/>
      <c r="H31" s="57"/>
      <c r="I31" s="1"/>
      <c r="J31" s="1"/>
      <c r="K31" s="1"/>
      <c r="L31" s="1"/>
      <c r="M31" s="1"/>
      <c r="N31" s="1"/>
      <c r="O31" s="1"/>
      <c r="P31" s="1"/>
      <c r="Q31" s="1"/>
    </row>
    <row r="32" spans="1:17" ht="20.100000000000001" customHeight="1">
      <c r="A32" s="62" t="s">
        <v>51</v>
      </c>
      <c r="B32" s="62"/>
      <c r="C32" s="62"/>
      <c r="D32" s="62"/>
      <c r="E32" s="62"/>
      <c r="F32" s="62"/>
      <c r="G32" s="62"/>
      <c r="H32" s="62"/>
      <c r="I32" s="1"/>
      <c r="J32" s="1"/>
      <c r="K32" s="1"/>
      <c r="L32" s="1"/>
      <c r="M32" s="1"/>
      <c r="N32" s="1"/>
      <c r="O32" s="1"/>
      <c r="P32" s="1"/>
      <c r="Q32" s="1"/>
    </row>
    <row r="33" spans="1:17" ht="20.100000000000001" customHeight="1">
      <c r="A33" s="62"/>
      <c r="B33" s="62"/>
      <c r="C33" s="62"/>
      <c r="D33" s="62"/>
      <c r="E33" s="62"/>
      <c r="F33" s="62"/>
      <c r="G33" s="62"/>
      <c r="H33" s="62"/>
      <c r="I33" s="1"/>
      <c r="J33" s="1"/>
      <c r="K33" s="1"/>
      <c r="L33" s="1"/>
      <c r="M33" s="1"/>
      <c r="N33" s="1"/>
      <c r="O33" s="1"/>
      <c r="P33" s="1"/>
      <c r="Q33" s="1"/>
    </row>
    <row r="34" spans="1:17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</sheetData>
  <mergeCells count="6">
    <mergeCell ref="A32:H33"/>
    <mergeCell ref="A1:H1"/>
    <mergeCell ref="A2:H2"/>
    <mergeCell ref="F18:H18"/>
    <mergeCell ref="F19:H23"/>
    <mergeCell ref="E31:H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E8B"/>
  </sheetPr>
  <dimension ref="A1:AB5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baseColWidth="10" defaultColWidth="9" defaultRowHeight="14.25"/>
  <cols>
    <col min="1" max="1" width="13" customWidth="1"/>
    <col min="2" max="3" width="30" customWidth="1"/>
    <col min="4" max="4" width="25" customWidth="1"/>
    <col min="5" max="5" width="18" customWidth="1"/>
    <col min="6" max="6" width="27" customWidth="1"/>
    <col min="7" max="7" width="18" customWidth="1"/>
    <col min="8" max="8" width="31" customWidth="1"/>
    <col min="9" max="9" width="21" customWidth="1"/>
    <col min="10" max="10" width="37" customWidth="1"/>
    <col min="11" max="11" width="38" customWidth="1"/>
    <col min="12" max="12" width="21" customWidth="1"/>
    <col min="13" max="13" width="18" customWidth="1"/>
    <col min="14" max="14" width="11" customWidth="1"/>
    <col min="15" max="15" width="18" customWidth="1"/>
    <col min="16" max="16" width="14" customWidth="1"/>
    <col min="17" max="17" width="48" customWidth="1"/>
    <col min="18" max="18" width="25" customWidth="1"/>
    <col min="19" max="19" width="14" customWidth="1"/>
    <col min="20" max="20" width="12" customWidth="1"/>
    <col min="21" max="22" width="13" customWidth="1"/>
    <col min="23" max="23" width="38" customWidth="1"/>
    <col min="24" max="24" width="19" customWidth="1"/>
    <col min="25" max="25" width="55" customWidth="1"/>
    <col min="26" max="26" width="20" customWidth="1"/>
    <col min="27" max="27" width="30" customWidth="1"/>
    <col min="28" max="28" width="70" customWidth="1"/>
  </cols>
  <sheetData>
    <row r="1" spans="1:28" ht="33.950000000000003" customHeight="1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7" t="s">
        <v>69</v>
      </c>
      <c r="S1" s="37" t="s">
        <v>70</v>
      </c>
      <c r="T1" s="37" t="s">
        <v>71</v>
      </c>
      <c r="U1" s="37" t="s">
        <v>72</v>
      </c>
      <c r="V1" s="37" t="s">
        <v>73</v>
      </c>
      <c r="W1" s="37" t="s">
        <v>74</v>
      </c>
      <c r="X1" s="37" t="s">
        <v>75</v>
      </c>
      <c r="Y1" s="37" t="s">
        <v>76</v>
      </c>
      <c r="Z1" s="46" t="s">
        <v>77</v>
      </c>
      <c r="AA1" s="3" t="s">
        <v>78</v>
      </c>
      <c r="AB1" s="3" t="s">
        <v>79</v>
      </c>
    </row>
    <row r="2" spans="1:28" ht="84" customHeight="1">
      <c r="A2" s="6" t="s">
        <v>80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41</v>
      </c>
      <c r="G2" s="4" t="s">
        <v>85</v>
      </c>
      <c r="H2" s="4" t="s">
        <v>86</v>
      </c>
      <c r="I2" s="4" t="s">
        <v>87</v>
      </c>
      <c r="J2" s="7" t="s">
        <v>88</v>
      </c>
      <c r="K2" s="7" t="s">
        <v>88</v>
      </c>
      <c r="L2" s="4" t="s">
        <v>89</v>
      </c>
      <c r="M2" s="4" t="s">
        <v>90</v>
      </c>
      <c r="N2" s="4" t="s">
        <v>91</v>
      </c>
      <c r="O2" s="4" t="s">
        <v>92</v>
      </c>
      <c r="P2" s="50">
        <v>46326</v>
      </c>
      <c r="Q2" s="4" t="s">
        <v>93</v>
      </c>
      <c r="R2" s="31" t="s">
        <v>23</v>
      </c>
      <c r="S2" s="33">
        <v>93</v>
      </c>
      <c r="T2" s="31" t="s">
        <v>94</v>
      </c>
      <c r="U2" s="33">
        <v>200</v>
      </c>
      <c r="V2" s="31" t="s">
        <v>95</v>
      </c>
      <c r="W2" s="7" t="s">
        <v>88</v>
      </c>
      <c r="X2" s="45">
        <v>46279.625</v>
      </c>
      <c r="Y2" s="31" t="s">
        <v>96</v>
      </c>
      <c r="Z2" s="47">
        <v>8</v>
      </c>
      <c r="AA2" s="4" t="s">
        <v>10</v>
      </c>
      <c r="AB2" s="7" t="s">
        <v>97</v>
      </c>
    </row>
    <row r="3" spans="1:28" ht="84" customHeight="1">
      <c r="A3" s="6" t="s">
        <v>98</v>
      </c>
      <c r="B3" s="4" t="s">
        <v>99</v>
      </c>
      <c r="C3" s="4" t="s">
        <v>99</v>
      </c>
      <c r="D3" s="4" t="s">
        <v>83</v>
      </c>
      <c r="E3" s="4" t="s">
        <v>84</v>
      </c>
      <c r="F3" s="4" t="s">
        <v>39</v>
      </c>
      <c r="G3" s="4" t="s">
        <v>100</v>
      </c>
      <c r="H3" s="4" t="s">
        <v>86</v>
      </c>
      <c r="I3" s="4" t="s">
        <v>87</v>
      </c>
      <c r="J3" s="7" t="s">
        <v>101</v>
      </c>
      <c r="K3" s="7" t="s">
        <v>101</v>
      </c>
      <c r="L3" s="4" t="s">
        <v>89</v>
      </c>
      <c r="M3" s="4" t="s">
        <v>90</v>
      </c>
      <c r="N3" s="4" t="s">
        <v>91</v>
      </c>
      <c r="O3" s="4" t="s">
        <v>92</v>
      </c>
      <c r="P3" s="50">
        <v>46326</v>
      </c>
      <c r="Q3" s="4" t="s">
        <v>102</v>
      </c>
      <c r="R3" s="31" t="s">
        <v>23</v>
      </c>
      <c r="S3" s="33">
        <v>99</v>
      </c>
      <c r="T3" s="31" t="s">
        <v>94</v>
      </c>
      <c r="U3" s="33">
        <v>200</v>
      </c>
      <c r="V3" s="31" t="s">
        <v>95</v>
      </c>
      <c r="W3" s="7" t="s">
        <v>101</v>
      </c>
      <c r="X3" s="45">
        <v>46279.625</v>
      </c>
      <c r="Y3" s="31" t="s">
        <v>96</v>
      </c>
      <c r="Z3" s="47">
        <v>4</v>
      </c>
      <c r="AA3" s="4" t="s">
        <v>10</v>
      </c>
      <c r="AB3" s="7" t="s">
        <v>97</v>
      </c>
    </row>
    <row r="4" spans="1:28" ht="84" customHeight="1">
      <c r="A4" s="6" t="s">
        <v>103</v>
      </c>
      <c r="B4" s="4" t="s">
        <v>104</v>
      </c>
      <c r="C4" s="4" t="s">
        <v>104</v>
      </c>
      <c r="D4" s="4" t="s">
        <v>83</v>
      </c>
      <c r="E4" s="4" t="s">
        <v>105</v>
      </c>
      <c r="F4" s="4" t="s">
        <v>26</v>
      </c>
      <c r="G4" s="4"/>
      <c r="H4" s="4" t="s">
        <v>106</v>
      </c>
      <c r="I4" s="4" t="s">
        <v>87</v>
      </c>
      <c r="J4" s="7" t="s">
        <v>107</v>
      </c>
      <c r="K4" s="7" t="s">
        <v>107</v>
      </c>
      <c r="L4" s="4" t="s">
        <v>89</v>
      </c>
      <c r="M4" s="4" t="s">
        <v>90</v>
      </c>
      <c r="N4" s="4" t="s">
        <v>91</v>
      </c>
      <c r="O4" s="4" t="s">
        <v>108</v>
      </c>
      <c r="P4" s="50">
        <v>46326</v>
      </c>
      <c r="Q4" s="4" t="s">
        <v>109</v>
      </c>
      <c r="R4" s="31" t="s">
        <v>23</v>
      </c>
      <c r="S4" s="33">
        <v>86</v>
      </c>
      <c r="T4" s="31" t="s">
        <v>94</v>
      </c>
      <c r="U4" s="33">
        <v>200</v>
      </c>
      <c r="V4" s="31" t="s">
        <v>110</v>
      </c>
      <c r="W4" s="7" t="s">
        <v>107</v>
      </c>
      <c r="X4" s="45">
        <v>46279.625</v>
      </c>
      <c r="Y4" s="31" t="s">
        <v>111</v>
      </c>
      <c r="Z4" s="47">
        <v>289</v>
      </c>
      <c r="AA4" s="4" t="s">
        <v>10</v>
      </c>
      <c r="AB4" s="7" t="s">
        <v>97</v>
      </c>
    </row>
    <row r="5" spans="1:28" ht="84" customHeight="1">
      <c r="A5" s="6" t="s">
        <v>112</v>
      </c>
      <c r="B5" s="4" t="s">
        <v>113</v>
      </c>
      <c r="C5" s="4" t="s">
        <v>114</v>
      </c>
      <c r="D5" s="4" t="s">
        <v>83</v>
      </c>
      <c r="E5" s="4" t="s">
        <v>84</v>
      </c>
      <c r="F5" s="4" t="s">
        <v>36</v>
      </c>
      <c r="G5" s="4" t="s">
        <v>115</v>
      </c>
      <c r="H5" s="4" t="s">
        <v>106</v>
      </c>
      <c r="I5" s="4" t="s">
        <v>87</v>
      </c>
      <c r="J5" s="7" t="s">
        <v>116</v>
      </c>
      <c r="K5" s="7" t="s">
        <v>116</v>
      </c>
      <c r="L5" s="4" t="s">
        <v>89</v>
      </c>
      <c r="M5" s="4" t="s">
        <v>90</v>
      </c>
      <c r="N5" s="4" t="s">
        <v>91</v>
      </c>
      <c r="O5" s="4" t="s">
        <v>117</v>
      </c>
      <c r="P5" s="50">
        <v>46326</v>
      </c>
      <c r="Q5" s="4" t="s">
        <v>118</v>
      </c>
      <c r="R5" s="31" t="s">
        <v>23</v>
      </c>
      <c r="S5" s="33">
        <v>97</v>
      </c>
      <c r="T5" s="31" t="s">
        <v>94</v>
      </c>
      <c r="U5" s="33">
        <v>200</v>
      </c>
      <c r="V5" s="31" t="s">
        <v>95</v>
      </c>
      <c r="W5" s="7" t="s">
        <v>116</v>
      </c>
      <c r="X5" s="45">
        <v>46279.625</v>
      </c>
      <c r="Y5" s="31" t="s">
        <v>119</v>
      </c>
      <c r="Z5" s="47">
        <v>0</v>
      </c>
      <c r="AA5" s="4" t="s">
        <v>120</v>
      </c>
      <c r="AB5" s="7" t="s">
        <v>121</v>
      </c>
    </row>
    <row r="6" spans="1:28" ht="84" customHeight="1">
      <c r="A6" s="6" t="s">
        <v>122</v>
      </c>
      <c r="B6" s="4" t="s">
        <v>123</v>
      </c>
      <c r="C6" s="4" t="s">
        <v>124</v>
      </c>
      <c r="D6" s="4" t="s">
        <v>83</v>
      </c>
      <c r="E6" s="4" t="s">
        <v>84</v>
      </c>
      <c r="F6" s="4" t="s">
        <v>26</v>
      </c>
      <c r="G6" s="4"/>
      <c r="H6" s="4" t="s">
        <v>125</v>
      </c>
      <c r="I6" s="4" t="s">
        <v>87</v>
      </c>
      <c r="J6" s="7" t="s">
        <v>126</v>
      </c>
      <c r="K6" s="7" t="s">
        <v>126</v>
      </c>
      <c r="L6" s="4" t="s">
        <v>89</v>
      </c>
      <c r="M6" s="4" t="s">
        <v>90</v>
      </c>
      <c r="N6" s="4" t="s">
        <v>91</v>
      </c>
      <c r="O6" s="4" t="s">
        <v>127</v>
      </c>
      <c r="P6" s="50">
        <v>46326</v>
      </c>
      <c r="Q6" s="4" t="s">
        <v>128</v>
      </c>
      <c r="R6" s="31" t="s">
        <v>6</v>
      </c>
      <c r="S6" s="33">
        <v>72</v>
      </c>
      <c r="T6" s="31" t="s">
        <v>94</v>
      </c>
      <c r="U6" s="33">
        <v>200</v>
      </c>
      <c r="V6" s="31" t="s">
        <v>95</v>
      </c>
      <c r="W6" s="7" t="s">
        <v>126</v>
      </c>
      <c r="X6" s="45">
        <v>46279.625</v>
      </c>
      <c r="Y6" s="31" t="s">
        <v>129</v>
      </c>
      <c r="Z6" s="47">
        <v>10</v>
      </c>
      <c r="AA6" s="4" t="s">
        <v>10</v>
      </c>
      <c r="AB6" s="7" t="s">
        <v>97</v>
      </c>
    </row>
    <row r="7" spans="1:28" ht="84" customHeight="1">
      <c r="A7" s="6" t="s">
        <v>130</v>
      </c>
      <c r="B7" s="4" t="s">
        <v>131</v>
      </c>
      <c r="C7" s="4" t="s">
        <v>132</v>
      </c>
      <c r="D7" s="4" t="s">
        <v>83</v>
      </c>
      <c r="E7" s="4" t="s">
        <v>84</v>
      </c>
      <c r="F7" s="4" t="s">
        <v>39</v>
      </c>
      <c r="G7" s="4" t="s">
        <v>133</v>
      </c>
      <c r="H7" s="4" t="s">
        <v>134</v>
      </c>
      <c r="I7" s="4" t="s">
        <v>87</v>
      </c>
      <c r="J7" s="7" t="s">
        <v>135</v>
      </c>
      <c r="K7" s="7" t="s">
        <v>135</v>
      </c>
      <c r="L7" s="4" t="s">
        <v>89</v>
      </c>
      <c r="M7" s="4" t="s">
        <v>90</v>
      </c>
      <c r="N7" s="4" t="s">
        <v>91</v>
      </c>
      <c r="O7" s="4" t="s">
        <v>92</v>
      </c>
      <c r="P7" s="50">
        <v>46326</v>
      </c>
      <c r="Q7" s="4" t="s">
        <v>136</v>
      </c>
      <c r="R7" s="31" t="s">
        <v>6</v>
      </c>
      <c r="S7" s="33">
        <v>79</v>
      </c>
      <c r="T7" s="31" t="s">
        <v>94</v>
      </c>
      <c r="U7" s="33">
        <v>200</v>
      </c>
      <c r="V7" s="31" t="s">
        <v>95</v>
      </c>
      <c r="W7" s="7" t="s">
        <v>135</v>
      </c>
      <c r="X7" s="45">
        <v>46279.625</v>
      </c>
      <c r="Y7" s="31" t="s">
        <v>137</v>
      </c>
      <c r="Z7" s="47">
        <v>0</v>
      </c>
      <c r="AA7" s="4" t="s">
        <v>120</v>
      </c>
      <c r="AB7" s="7" t="s">
        <v>121</v>
      </c>
    </row>
    <row r="8" spans="1:28" ht="84" customHeight="1">
      <c r="A8" s="6" t="s">
        <v>138</v>
      </c>
      <c r="B8" s="4" t="s">
        <v>139</v>
      </c>
      <c r="C8" s="4" t="s">
        <v>140</v>
      </c>
      <c r="D8" s="4" t="s">
        <v>83</v>
      </c>
      <c r="E8" s="4" t="s">
        <v>84</v>
      </c>
      <c r="F8" s="4" t="s">
        <v>26</v>
      </c>
      <c r="G8" s="4"/>
      <c r="H8" s="4" t="s">
        <v>141</v>
      </c>
      <c r="I8" s="4" t="s">
        <v>87</v>
      </c>
      <c r="J8" s="7" t="s">
        <v>142</v>
      </c>
      <c r="K8" s="7" t="s">
        <v>142</v>
      </c>
      <c r="L8" s="4" t="s">
        <v>89</v>
      </c>
      <c r="M8" s="4" t="s">
        <v>90</v>
      </c>
      <c r="N8" s="4" t="s">
        <v>91</v>
      </c>
      <c r="O8" s="4" t="s">
        <v>143</v>
      </c>
      <c r="P8" s="50">
        <v>46326</v>
      </c>
      <c r="Q8" s="4" t="s">
        <v>144</v>
      </c>
      <c r="R8" s="31" t="s">
        <v>6</v>
      </c>
      <c r="S8" s="33">
        <v>64</v>
      </c>
      <c r="T8" s="31" t="s">
        <v>94</v>
      </c>
      <c r="U8" s="33">
        <v>200</v>
      </c>
      <c r="V8" s="31" t="s">
        <v>95</v>
      </c>
      <c r="W8" s="7" t="s">
        <v>142</v>
      </c>
      <c r="X8" s="45">
        <v>46279.625</v>
      </c>
      <c r="Y8" s="31" t="s">
        <v>145</v>
      </c>
      <c r="Z8" s="47">
        <v>0</v>
      </c>
      <c r="AA8" s="4" t="s">
        <v>120</v>
      </c>
      <c r="AB8" s="7" t="s">
        <v>121</v>
      </c>
    </row>
    <row r="9" spans="1:28" ht="84" customHeight="1">
      <c r="A9" s="6" t="s">
        <v>146</v>
      </c>
      <c r="B9" s="4" t="s">
        <v>147</v>
      </c>
      <c r="C9" s="4" t="s">
        <v>148</v>
      </c>
      <c r="D9" s="4" t="s">
        <v>83</v>
      </c>
      <c r="E9" s="4" t="s">
        <v>84</v>
      </c>
      <c r="F9" s="4" t="s">
        <v>39</v>
      </c>
      <c r="G9" s="4" t="s">
        <v>100</v>
      </c>
      <c r="H9" s="4" t="s">
        <v>86</v>
      </c>
      <c r="I9" s="4" t="s">
        <v>87</v>
      </c>
      <c r="J9" s="7" t="s">
        <v>149</v>
      </c>
      <c r="K9" s="7" t="s">
        <v>149</v>
      </c>
      <c r="L9" s="4" t="s">
        <v>89</v>
      </c>
      <c r="M9" s="4" t="s">
        <v>90</v>
      </c>
      <c r="N9" s="4" t="s">
        <v>91</v>
      </c>
      <c r="O9" s="4" t="s">
        <v>150</v>
      </c>
      <c r="P9" s="50">
        <v>46326</v>
      </c>
      <c r="Q9" s="4" t="s">
        <v>151</v>
      </c>
      <c r="R9" s="31" t="s">
        <v>23</v>
      </c>
      <c r="S9" s="33">
        <v>99</v>
      </c>
      <c r="T9" s="31" t="s">
        <v>94</v>
      </c>
      <c r="U9" s="33">
        <v>200</v>
      </c>
      <c r="V9" s="31" t="s">
        <v>95</v>
      </c>
      <c r="W9" s="7" t="s">
        <v>149</v>
      </c>
      <c r="X9" s="45">
        <v>46279.625</v>
      </c>
      <c r="Y9" s="31" t="s">
        <v>96</v>
      </c>
      <c r="Z9" s="47">
        <v>36</v>
      </c>
      <c r="AA9" s="4" t="s">
        <v>10</v>
      </c>
      <c r="AB9" s="7" t="s">
        <v>97</v>
      </c>
    </row>
    <row r="10" spans="1:28" ht="84" customHeight="1">
      <c r="A10" s="6" t="s">
        <v>152</v>
      </c>
      <c r="B10" s="4" t="s">
        <v>153</v>
      </c>
      <c r="C10" s="4" t="s">
        <v>154</v>
      </c>
      <c r="D10" s="4" t="s">
        <v>83</v>
      </c>
      <c r="E10" s="4" t="s">
        <v>84</v>
      </c>
      <c r="F10" s="4" t="s">
        <v>39</v>
      </c>
      <c r="G10" s="4" t="s">
        <v>155</v>
      </c>
      <c r="H10" s="4" t="s">
        <v>106</v>
      </c>
      <c r="I10" s="4" t="s">
        <v>87</v>
      </c>
      <c r="J10" s="7" t="s">
        <v>156</v>
      </c>
      <c r="K10" s="7" t="s">
        <v>156</v>
      </c>
      <c r="L10" s="4" t="s">
        <v>89</v>
      </c>
      <c r="M10" s="4" t="s">
        <v>90</v>
      </c>
      <c r="N10" s="4" t="s">
        <v>91</v>
      </c>
      <c r="O10" s="4" t="s">
        <v>157</v>
      </c>
      <c r="P10" s="50">
        <v>46326</v>
      </c>
      <c r="Q10" s="4" t="s">
        <v>158</v>
      </c>
      <c r="R10" s="31" t="s">
        <v>6</v>
      </c>
      <c r="S10" s="33">
        <v>45</v>
      </c>
      <c r="T10" s="31" t="s">
        <v>94</v>
      </c>
      <c r="U10" s="33">
        <v>200</v>
      </c>
      <c r="V10" s="31" t="s">
        <v>110</v>
      </c>
      <c r="W10" s="7" t="s">
        <v>156</v>
      </c>
      <c r="X10" s="45">
        <v>46279.625</v>
      </c>
      <c r="Y10" s="31" t="s">
        <v>159</v>
      </c>
      <c r="Z10" s="47">
        <v>66</v>
      </c>
      <c r="AA10" s="4" t="s">
        <v>10</v>
      </c>
      <c r="AB10" s="7" t="s">
        <v>97</v>
      </c>
    </row>
    <row r="11" spans="1:28" ht="84" customHeight="1">
      <c r="A11" s="6" t="s">
        <v>160</v>
      </c>
      <c r="B11" s="4" t="s">
        <v>161</v>
      </c>
      <c r="C11" s="4" t="s">
        <v>162</v>
      </c>
      <c r="D11" s="4" t="s">
        <v>83</v>
      </c>
      <c r="E11" s="4" t="s">
        <v>84</v>
      </c>
      <c r="F11" s="4" t="s">
        <v>163</v>
      </c>
      <c r="G11" s="4" t="s">
        <v>164</v>
      </c>
      <c r="H11" s="4" t="s">
        <v>86</v>
      </c>
      <c r="I11" s="4" t="s">
        <v>87</v>
      </c>
      <c r="J11" s="7" t="s">
        <v>165</v>
      </c>
      <c r="K11" s="7" t="s">
        <v>165</v>
      </c>
      <c r="L11" s="4" t="s">
        <v>166</v>
      </c>
      <c r="M11" s="4" t="s">
        <v>167</v>
      </c>
      <c r="N11" s="4" t="s">
        <v>91</v>
      </c>
      <c r="O11" s="4" t="s">
        <v>150</v>
      </c>
      <c r="P11" s="5">
        <v>46270.666666666664</v>
      </c>
      <c r="Q11" s="4" t="s">
        <v>168</v>
      </c>
      <c r="R11" s="31" t="s">
        <v>29</v>
      </c>
      <c r="S11" s="33">
        <v>100</v>
      </c>
      <c r="T11" s="31" t="s">
        <v>94</v>
      </c>
      <c r="U11" s="33">
        <v>200</v>
      </c>
      <c r="V11" s="31" t="s">
        <v>95</v>
      </c>
      <c r="W11" s="7" t="s">
        <v>165</v>
      </c>
      <c r="X11" s="45">
        <v>46279.625</v>
      </c>
      <c r="Y11" s="31" t="s">
        <v>169</v>
      </c>
      <c r="Z11" s="47">
        <v>0</v>
      </c>
      <c r="AA11" s="4" t="s">
        <v>170</v>
      </c>
      <c r="AB11" s="7" t="s">
        <v>171</v>
      </c>
    </row>
    <row r="12" spans="1:28" ht="84" customHeight="1">
      <c r="A12" s="6" t="s">
        <v>172</v>
      </c>
      <c r="B12" s="4" t="s">
        <v>173</v>
      </c>
      <c r="C12" s="4" t="s">
        <v>174</v>
      </c>
      <c r="D12" s="4" t="s">
        <v>83</v>
      </c>
      <c r="E12" s="4" t="s">
        <v>84</v>
      </c>
      <c r="F12" s="4" t="s">
        <v>39</v>
      </c>
      <c r="G12" s="4" t="s">
        <v>100</v>
      </c>
      <c r="H12" s="4" t="s">
        <v>86</v>
      </c>
      <c r="I12" s="4" t="s">
        <v>87</v>
      </c>
      <c r="J12" s="7" t="s">
        <v>175</v>
      </c>
      <c r="K12" s="7" t="s">
        <v>175</v>
      </c>
      <c r="L12" s="4" t="s">
        <v>89</v>
      </c>
      <c r="M12" s="4" t="s">
        <v>90</v>
      </c>
      <c r="N12" s="4" t="s">
        <v>91</v>
      </c>
      <c r="O12" s="4" t="s">
        <v>176</v>
      </c>
      <c r="P12" s="50">
        <v>46326</v>
      </c>
      <c r="Q12" s="4" t="s">
        <v>177</v>
      </c>
      <c r="R12" s="31" t="s">
        <v>23</v>
      </c>
      <c r="S12" s="33">
        <v>79</v>
      </c>
      <c r="T12" s="31" t="s">
        <v>94</v>
      </c>
      <c r="U12" s="33">
        <v>200</v>
      </c>
      <c r="V12" s="31" t="s">
        <v>95</v>
      </c>
      <c r="W12" s="7" t="s">
        <v>175</v>
      </c>
      <c r="X12" s="45">
        <v>46285.625</v>
      </c>
      <c r="Y12" s="31" t="s">
        <v>178</v>
      </c>
      <c r="Z12" s="47">
        <v>2</v>
      </c>
      <c r="AA12" s="4" t="s">
        <v>10</v>
      </c>
      <c r="AB12" s="7" t="s">
        <v>97</v>
      </c>
    </row>
    <row r="13" spans="1:28" ht="84" customHeight="1">
      <c r="A13" s="6" t="s">
        <v>179</v>
      </c>
      <c r="B13" s="4" t="s">
        <v>180</v>
      </c>
      <c r="C13" s="4" t="s">
        <v>180</v>
      </c>
      <c r="D13" s="4" t="s">
        <v>83</v>
      </c>
      <c r="E13" s="4" t="s">
        <v>84</v>
      </c>
      <c r="F13" s="4" t="s">
        <v>36</v>
      </c>
      <c r="G13" s="4" t="s">
        <v>115</v>
      </c>
      <c r="H13" s="4" t="s">
        <v>181</v>
      </c>
      <c r="I13" s="4" t="s">
        <v>87</v>
      </c>
      <c r="J13" s="7" t="s">
        <v>182</v>
      </c>
      <c r="K13" s="7" t="s">
        <v>182</v>
      </c>
      <c r="L13" s="4" t="s">
        <v>89</v>
      </c>
      <c r="M13" s="4" t="s">
        <v>90</v>
      </c>
      <c r="N13" s="4" t="s">
        <v>91</v>
      </c>
      <c r="O13" s="4" t="s">
        <v>150</v>
      </c>
      <c r="P13" s="50">
        <v>46326</v>
      </c>
      <c r="Q13" s="4" t="s">
        <v>183</v>
      </c>
      <c r="R13" s="31" t="s">
        <v>23</v>
      </c>
      <c r="S13" s="33">
        <v>100</v>
      </c>
      <c r="T13" s="31" t="s">
        <v>94</v>
      </c>
      <c r="U13" s="33">
        <v>200</v>
      </c>
      <c r="V13" s="31" t="s">
        <v>95</v>
      </c>
      <c r="W13" s="7" t="s">
        <v>182</v>
      </c>
      <c r="X13" s="45">
        <v>46279.625</v>
      </c>
      <c r="Y13" s="31" t="s">
        <v>184</v>
      </c>
      <c r="Z13" s="47">
        <v>0</v>
      </c>
      <c r="AA13" s="4" t="s">
        <v>120</v>
      </c>
      <c r="AB13" s="7" t="s">
        <v>121</v>
      </c>
    </row>
    <row r="14" spans="1:28" ht="84" customHeight="1">
      <c r="A14" s="6" t="s">
        <v>185</v>
      </c>
      <c r="B14" s="4" t="s">
        <v>186</v>
      </c>
      <c r="C14" s="4" t="s">
        <v>186</v>
      </c>
      <c r="D14" s="4" t="s">
        <v>83</v>
      </c>
      <c r="E14" s="4" t="s">
        <v>84</v>
      </c>
      <c r="F14" s="4" t="s">
        <v>39</v>
      </c>
      <c r="G14" s="4"/>
      <c r="H14" s="4" t="s">
        <v>106</v>
      </c>
      <c r="I14" s="4" t="s">
        <v>87</v>
      </c>
      <c r="J14" s="7" t="s">
        <v>187</v>
      </c>
      <c r="K14" s="7" t="s">
        <v>187</v>
      </c>
      <c r="L14" s="4" t="s">
        <v>188</v>
      </c>
      <c r="M14" s="4" t="s">
        <v>167</v>
      </c>
      <c r="N14" s="4" t="s">
        <v>91</v>
      </c>
      <c r="O14" s="4" t="s">
        <v>150</v>
      </c>
      <c r="P14" s="5">
        <v>46270.666666666664</v>
      </c>
      <c r="Q14" s="4" t="s">
        <v>189</v>
      </c>
      <c r="R14" s="31" t="s">
        <v>31</v>
      </c>
      <c r="S14" s="33">
        <v>87</v>
      </c>
      <c r="T14" s="31" t="s">
        <v>94</v>
      </c>
      <c r="U14" s="33">
        <v>200</v>
      </c>
      <c r="V14" s="31" t="s">
        <v>95</v>
      </c>
      <c r="W14" s="7" t="s">
        <v>187</v>
      </c>
      <c r="X14" s="45">
        <v>46279.625</v>
      </c>
      <c r="Y14" s="31" t="s">
        <v>190</v>
      </c>
      <c r="Z14" s="47">
        <v>0</v>
      </c>
      <c r="AA14" s="4" t="s">
        <v>191</v>
      </c>
      <c r="AB14" s="7" t="s">
        <v>192</v>
      </c>
    </row>
    <row r="15" spans="1:28" ht="84" customHeight="1">
      <c r="A15" s="6" t="s">
        <v>193</v>
      </c>
      <c r="B15" s="4" t="s">
        <v>194</v>
      </c>
      <c r="C15" s="4" t="s">
        <v>195</v>
      </c>
      <c r="D15" s="4" t="s">
        <v>83</v>
      </c>
      <c r="E15" s="4" t="s">
        <v>84</v>
      </c>
      <c r="F15" s="4" t="s">
        <v>40</v>
      </c>
      <c r="G15" s="4" t="s">
        <v>164</v>
      </c>
      <c r="H15" s="4" t="s">
        <v>106</v>
      </c>
      <c r="I15" s="4" t="s">
        <v>87</v>
      </c>
      <c r="J15" s="7" t="s">
        <v>196</v>
      </c>
      <c r="K15" s="7" t="s">
        <v>196</v>
      </c>
      <c r="L15" s="4" t="s">
        <v>89</v>
      </c>
      <c r="M15" s="4" t="s">
        <v>90</v>
      </c>
      <c r="N15" s="4" t="s">
        <v>91</v>
      </c>
      <c r="O15" s="4" t="s">
        <v>197</v>
      </c>
      <c r="P15" s="50">
        <v>46326</v>
      </c>
      <c r="Q15" s="4" t="s">
        <v>198</v>
      </c>
      <c r="R15" s="31" t="s">
        <v>23</v>
      </c>
      <c r="S15" s="33">
        <v>99</v>
      </c>
      <c r="T15" s="31" t="s">
        <v>94</v>
      </c>
      <c r="U15" s="33">
        <v>200</v>
      </c>
      <c r="V15" s="31" t="s">
        <v>95</v>
      </c>
      <c r="W15" s="7" t="s">
        <v>199</v>
      </c>
      <c r="X15" s="45">
        <v>46279.625</v>
      </c>
      <c r="Y15" s="31" t="s">
        <v>200</v>
      </c>
      <c r="Z15" s="47">
        <v>13</v>
      </c>
      <c r="AA15" s="4" t="s">
        <v>10</v>
      </c>
      <c r="AB15" s="7" t="s">
        <v>97</v>
      </c>
    </row>
    <row r="16" spans="1:28" ht="84" customHeight="1">
      <c r="A16" s="6" t="s">
        <v>201</v>
      </c>
      <c r="B16" s="4" t="s">
        <v>202</v>
      </c>
      <c r="C16" s="4" t="s">
        <v>203</v>
      </c>
      <c r="D16" s="4" t="s">
        <v>83</v>
      </c>
      <c r="E16" s="4" t="s">
        <v>84</v>
      </c>
      <c r="F16" s="4" t="s">
        <v>36</v>
      </c>
      <c r="G16" s="4" t="s">
        <v>204</v>
      </c>
      <c r="H16" s="4" t="s">
        <v>106</v>
      </c>
      <c r="I16" s="4" t="s">
        <v>87</v>
      </c>
      <c r="J16" s="7" t="s">
        <v>205</v>
      </c>
      <c r="K16" s="7" t="s">
        <v>205</v>
      </c>
      <c r="L16" s="4" t="s">
        <v>89</v>
      </c>
      <c r="M16" s="4" t="s">
        <v>90</v>
      </c>
      <c r="N16" s="4" t="s">
        <v>91</v>
      </c>
      <c r="O16" s="4" t="s">
        <v>117</v>
      </c>
      <c r="P16" s="50">
        <v>46326</v>
      </c>
      <c r="Q16" s="4" t="s">
        <v>206</v>
      </c>
      <c r="R16" s="31" t="s">
        <v>23</v>
      </c>
      <c r="S16" s="33">
        <v>100</v>
      </c>
      <c r="T16" s="31" t="s">
        <v>94</v>
      </c>
      <c r="U16" s="33">
        <v>200</v>
      </c>
      <c r="V16" s="31" t="s">
        <v>95</v>
      </c>
      <c r="W16" s="7" t="s">
        <v>205</v>
      </c>
      <c r="X16" s="45">
        <v>46279.625</v>
      </c>
      <c r="Y16" s="31" t="s">
        <v>207</v>
      </c>
      <c r="Z16" s="47">
        <v>2</v>
      </c>
      <c r="AA16" s="4" t="s">
        <v>10</v>
      </c>
      <c r="AB16" s="7" t="s">
        <v>97</v>
      </c>
    </row>
    <row r="17" spans="1:28" ht="42" customHeight="1">
      <c r="A17" s="6" t="s">
        <v>208</v>
      </c>
      <c r="B17" s="4" t="s">
        <v>209</v>
      </c>
      <c r="C17" s="4" t="s">
        <v>210</v>
      </c>
      <c r="D17" s="4" t="s">
        <v>211</v>
      </c>
      <c r="E17" s="4" t="s">
        <v>105</v>
      </c>
      <c r="F17" s="4" t="s">
        <v>26</v>
      </c>
      <c r="G17" s="4"/>
      <c r="H17" s="4" t="s">
        <v>212</v>
      </c>
      <c r="I17" s="4" t="s">
        <v>213</v>
      </c>
      <c r="J17" s="7" t="s">
        <v>214</v>
      </c>
      <c r="K17" s="7" t="s">
        <v>214</v>
      </c>
      <c r="L17" s="4" t="s">
        <v>215</v>
      </c>
      <c r="M17" s="4" t="s">
        <v>90</v>
      </c>
      <c r="N17" s="4" t="s">
        <v>91</v>
      </c>
      <c r="O17" s="4" t="s">
        <v>216</v>
      </c>
      <c r="P17" s="5">
        <v>46270.666666666664</v>
      </c>
      <c r="Q17" s="4" t="s">
        <v>217</v>
      </c>
      <c r="R17" s="31" t="s">
        <v>6</v>
      </c>
      <c r="S17" s="33">
        <v>53</v>
      </c>
      <c r="T17" s="31" t="s">
        <v>218</v>
      </c>
      <c r="U17" s="33">
        <v>200</v>
      </c>
      <c r="V17" s="31" t="s">
        <v>95</v>
      </c>
      <c r="W17" s="7" t="s">
        <v>219</v>
      </c>
      <c r="X17" s="35">
        <v>46271.058310231485</v>
      </c>
      <c r="Y17" s="31" t="s">
        <v>220</v>
      </c>
      <c r="Z17" s="47"/>
      <c r="AA17" s="4"/>
      <c r="AB17" s="7"/>
    </row>
    <row r="18" spans="1:28" ht="42" customHeight="1">
      <c r="A18" s="6" t="s">
        <v>221</v>
      </c>
      <c r="B18" s="4" t="s">
        <v>222</v>
      </c>
      <c r="C18" s="4" t="s">
        <v>223</v>
      </c>
      <c r="D18" s="4" t="s">
        <v>224</v>
      </c>
      <c r="E18" s="4" t="s">
        <v>105</v>
      </c>
      <c r="F18" s="4" t="s">
        <v>26</v>
      </c>
      <c r="G18" s="4"/>
      <c r="H18" s="4" t="s">
        <v>225</v>
      </c>
      <c r="I18" s="4" t="s">
        <v>226</v>
      </c>
      <c r="J18" s="7" t="s">
        <v>227</v>
      </c>
      <c r="K18" s="7" t="s">
        <v>227</v>
      </c>
      <c r="L18" s="4" t="s">
        <v>215</v>
      </c>
      <c r="M18" s="4" t="s">
        <v>90</v>
      </c>
      <c r="N18" s="4" t="s">
        <v>91</v>
      </c>
      <c r="O18" s="4" t="s">
        <v>228</v>
      </c>
      <c r="P18" s="5">
        <v>46270.666666666664</v>
      </c>
      <c r="Q18" s="4" t="s">
        <v>217</v>
      </c>
      <c r="R18" s="31" t="s">
        <v>23</v>
      </c>
      <c r="S18" s="33">
        <v>77</v>
      </c>
      <c r="T18" s="31" t="s">
        <v>218</v>
      </c>
      <c r="U18" s="33">
        <v>200</v>
      </c>
      <c r="V18" s="31" t="s">
        <v>95</v>
      </c>
      <c r="W18" s="7" t="s">
        <v>227</v>
      </c>
      <c r="X18" s="35">
        <v>46271.058307500003</v>
      </c>
      <c r="Y18" s="31" t="s">
        <v>229</v>
      </c>
      <c r="Z18" s="47"/>
      <c r="AA18" s="4"/>
      <c r="AB18" s="7"/>
    </row>
    <row r="19" spans="1:28" ht="42" customHeight="1">
      <c r="A19" s="6" t="s">
        <v>230</v>
      </c>
      <c r="B19" s="4" t="s">
        <v>231</v>
      </c>
      <c r="C19" s="4" t="s">
        <v>223</v>
      </c>
      <c r="D19" s="4" t="s">
        <v>232</v>
      </c>
      <c r="E19" s="4" t="s">
        <v>105</v>
      </c>
      <c r="F19" s="4" t="s">
        <v>26</v>
      </c>
      <c r="G19" s="4"/>
      <c r="H19" s="4" t="s">
        <v>233</v>
      </c>
      <c r="I19" s="4" t="s">
        <v>226</v>
      </c>
      <c r="J19" s="7" t="s">
        <v>234</v>
      </c>
      <c r="K19" s="7" t="s">
        <v>234</v>
      </c>
      <c r="L19" s="4" t="s">
        <v>215</v>
      </c>
      <c r="M19" s="4" t="s">
        <v>90</v>
      </c>
      <c r="N19" s="4" t="s">
        <v>235</v>
      </c>
      <c r="O19" s="4" t="s">
        <v>236</v>
      </c>
      <c r="P19" s="5">
        <v>46270.666666666664</v>
      </c>
      <c r="Q19" s="4" t="s">
        <v>217</v>
      </c>
      <c r="R19" s="31" t="s">
        <v>6</v>
      </c>
      <c r="S19" s="33">
        <v>76</v>
      </c>
      <c r="T19" s="31" t="s">
        <v>218</v>
      </c>
      <c r="U19" s="33">
        <v>200</v>
      </c>
      <c r="V19" s="31" t="s">
        <v>95</v>
      </c>
      <c r="W19" s="7" t="s">
        <v>234</v>
      </c>
      <c r="X19" s="35">
        <v>46271.058311620371</v>
      </c>
      <c r="Y19" s="31" t="s">
        <v>237</v>
      </c>
      <c r="Z19" s="47"/>
      <c r="AA19" s="4"/>
      <c r="AB19" s="7"/>
    </row>
    <row r="20" spans="1:28" ht="42" customHeight="1">
      <c r="A20" s="6" t="s">
        <v>238</v>
      </c>
      <c r="B20" s="4" t="s">
        <v>239</v>
      </c>
      <c r="C20" s="4" t="s">
        <v>223</v>
      </c>
      <c r="D20" s="4" t="s">
        <v>240</v>
      </c>
      <c r="E20" s="4" t="s">
        <v>105</v>
      </c>
      <c r="F20" s="4" t="s">
        <v>26</v>
      </c>
      <c r="G20" s="4"/>
      <c r="H20" s="4" t="s">
        <v>241</v>
      </c>
      <c r="I20" s="4" t="s">
        <v>242</v>
      </c>
      <c r="J20" s="7" t="s">
        <v>243</v>
      </c>
      <c r="K20" s="7" t="s">
        <v>243</v>
      </c>
      <c r="L20" s="4" t="s">
        <v>215</v>
      </c>
      <c r="M20" s="4" t="s">
        <v>90</v>
      </c>
      <c r="N20" s="4" t="s">
        <v>235</v>
      </c>
      <c r="O20" s="4" t="s">
        <v>228</v>
      </c>
      <c r="P20" s="5">
        <v>46270.666666666664</v>
      </c>
      <c r="Q20" s="4" t="s">
        <v>217</v>
      </c>
      <c r="R20" s="31" t="s">
        <v>23</v>
      </c>
      <c r="S20" s="33">
        <v>92</v>
      </c>
      <c r="T20" s="31" t="s">
        <v>94</v>
      </c>
      <c r="U20" s="33">
        <v>200</v>
      </c>
      <c r="V20" s="31" t="s">
        <v>95</v>
      </c>
      <c r="W20" s="7" t="s">
        <v>243</v>
      </c>
      <c r="X20" s="35">
        <v>46271.058317685187</v>
      </c>
      <c r="Y20" s="31" t="s">
        <v>244</v>
      </c>
      <c r="Z20" s="47"/>
      <c r="AA20" s="4"/>
      <c r="AB20" s="7"/>
    </row>
    <row r="21" spans="1:28" ht="42" customHeight="1">
      <c r="A21" s="6" t="s">
        <v>245</v>
      </c>
      <c r="B21" s="4" t="s">
        <v>246</v>
      </c>
      <c r="C21" s="4" t="s">
        <v>210</v>
      </c>
      <c r="D21" s="4" t="s">
        <v>247</v>
      </c>
      <c r="E21" s="4" t="s">
        <v>105</v>
      </c>
      <c r="F21" s="4" t="s">
        <v>26</v>
      </c>
      <c r="G21" s="4"/>
      <c r="H21" s="4" t="s">
        <v>248</v>
      </c>
      <c r="I21" s="4" t="s">
        <v>226</v>
      </c>
      <c r="J21" s="7" t="s">
        <v>249</v>
      </c>
      <c r="K21" s="7" t="s">
        <v>249</v>
      </c>
      <c r="L21" s="4" t="s">
        <v>215</v>
      </c>
      <c r="M21" s="4" t="s">
        <v>90</v>
      </c>
      <c r="N21" s="4" t="s">
        <v>250</v>
      </c>
      <c r="O21" s="4" t="s">
        <v>228</v>
      </c>
      <c r="P21" s="5">
        <v>46270.666666666664</v>
      </c>
      <c r="Q21" s="4" t="s">
        <v>217</v>
      </c>
      <c r="R21" s="31" t="s">
        <v>6</v>
      </c>
      <c r="S21" s="33">
        <v>74</v>
      </c>
      <c r="T21" s="31" t="s">
        <v>218</v>
      </c>
      <c r="U21" s="33">
        <v>200</v>
      </c>
      <c r="V21" s="31" t="s">
        <v>95</v>
      </c>
      <c r="W21" s="7" t="s">
        <v>249</v>
      </c>
      <c r="X21" s="35">
        <v>46271.058327696759</v>
      </c>
      <c r="Y21" s="31" t="s">
        <v>237</v>
      </c>
      <c r="Z21" s="47"/>
      <c r="AA21" s="4"/>
      <c r="AB21" s="7"/>
    </row>
    <row r="22" spans="1:28" ht="42" customHeight="1">
      <c r="A22" s="6" t="s">
        <v>251</v>
      </c>
      <c r="B22" s="4" t="s">
        <v>252</v>
      </c>
      <c r="C22" s="4" t="s">
        <v>210</v>
      </c>
      <c r="D22" s="4" t="s">
        <v>253</v>
      </c>
      <c r="E22" s="4" t="s">
        <v>105</v>
      </c>
      <c r="F22" s="4" t="s">
        <v>26</v>
      </c>
      <c r="G22" s="4"/>
      <c r="H22" s="4" t="s">
        <v>254</v>
      </c>
      <c r="I22" s="4" t="s">
        <v>255</v>
      </c>
      <c r="J22" s="7" t="s">
        <v>256</v>
      </c>
      <c r="K22" s="7" t="s">
        <v>256</v>
      </c>
      <c r="L22" s="4" t="s">
        <v>215</v>
      </c>
      <c r="M22" s="4" t="s">
        <v>90</v>
      </c>
      <c r="N22" s="4" t="s">
        <v>235</v>
      </c>
      <c r="O22" s="4" t="s">
        <v>228</v>
      </c>
      <c r="P22" s="5">
        <v>46270.666666666664</v>
      </c>
      <c r="Q22" s="4" t="s">
        <v>217</v>
      </c>
      <c r="R22" s="31" t="s">
        <v>6</v>
      </c>
      <c r="S22" s="33">
        <v>28</v>
      </c>
      <c r="T22" s="31" t="s">
        <v>218</v>
      </c>
      <c r="U22" s="33"/>
      <c r="V22" s="31" t="s">
        <v>110</v>
      </c>
      <c r="W22" s="7"/>
      <c r="X22" s="35">
        <v>46271.058317800926</v>
      </c>
      <c r="Y22" s="31" t="s">
        <v>257</v>
      </c>
      <c r="Z22" s="47"/>
      <c r="AA22" s="4"/>
      <c r="AB22" s="7"/>
    </row>
    <row r="23" spans="1:28" ht="42" customHeight="1">
      <c r="A23" s="6" t="s">
        <v>258</v>
      </c>
      <c r="B23" s="4" t="s">
        <v>259</v>
      </c>
      <c r="C23" s="4" t="s">
        <v>260</v>
      </c>
      <c r="D23" s="4" t="s">
        <v>261</v>
      </c>
      <c r="E23" s="4" t="s">
        <v>105</v>
      </c>
      <c r="F23" s="4" t="s">
        <v>27</v>
      </c>
      <c r="G23" s="4"/>
      <c r="H23" s="4" t="s">
        <v>262</v>
      </c>
      <c r="I23" s="4" t="s">
        <v>263</v>
      </c>
      <c r="J23" s="7" t="s">
        <v>264</v>
      </c>
      <c r="K23" s="7" t="s">
        <v>264</v>
      </c>
      <c r="L23" s="4" t="s">
        <v>215</v>
      </c>
      <c r="M23" s="4" t="s">
        <v>90</v>
      </c>
      <c r="N23" s="4" t="s">
        <v>91</v>
      </c>
      <c r="O23" s="4" t="s">
        <v>228</v>
      </c>
      <c r="P23" s="5">
        <v>46270.666666666664</v>
      </c>
      <c r="Q23" s="4" t="s">
        <v>217</v>
      </c>
      <c r="R23" s="31" t="s">
        <v>23</v>
      </c>
      <c r="S23" s="33">
        <v>87</v>
      </c>
      <c r="T23" s="31" t="s">
        <v>94</v>
      </c>
      <c r="U23" s="33">
        <v>200</v>
      </c>
      <c r="V23" s="31" t="s">
        <v>95</v>
      </c>
      <c r="W23" s="7" t="s">
        <v>264</v>
      </c>
      <c r="X23" s="35">
        <v>46271.058368101854</v>
      </c>
      <c r="Y23" s="31" t="s">
        <v>244</v>
      </c>
      <c r="Z23" s="47"/>
      <c r="AA23" s="4"/>
      <c r="AB23" s="7"/>
    </row>
    <row r="24" spans="1:28" ht="42" customHeight="1">
      <c r="A24" s="6" t="s">
        <v>265</v>
      </c>
      <c r="B24" s="4" t="s">
        <v>266</v>
      </c>
      <c r="C24" s="4" t="s">
        <v>267</v>
      </c>
      <c r="D24" s="4" t="s">
        <v>261</v>
      </c>
      <c r="E24" s="4" t="s">
        <v>105</v>
      </c>
      <c r="F24" s="4" t="s">
        <v>27</v>
      </c>
      <c r="G24" s="4"/>
      <c r="H24" s="4" t="s">
        <v>268</v>
      </c>
      <c r="I24" s="4" t="s">
        <v>269</v>
      </c>
      <c r="J24" s="7" t="s">
        <v>270</v>
      </c>
      <c r="K24" s="7" t="s">
        <v>271</v>
      </c>
      <c r="L24" s="4" t="s">
        <v>215</v>
      </c>
      <c r="M24" s="4" t="s">
        <v>90</v>
      </c>
      <c r="N24" s="4" t="s">
        <v>91</v>
      </c>
      <c r="O24" s="4" t="s">
        <v>228</v>
      </c>
      <c r="P24" s="5">
        <v>46270.666666666664</v>
      </c>
      <c r="Q24" s="4" t="s">
        <v>217</v>
      </c>
      <c r="R24" s="31" t="s">
        <v>23</v>
      </c>
      <c r="S24" s="33">
        <v>71</v>
      </c>
      <c r="T24" s="31" t="s">
        <v>218</v>
      </c>
      <c r="U24" s="33">
        <v>200</v>
      </c>
      <c r="V24" s="31" t="s">
        <v>95</v>
      </c>
      <c r="W24" s="7" t="s">
        <v>270</v>
      </c>
      <c r="X24" s="35">
        <v>46271.058353171298</v>
      </c>
      <c r="Y24" s="31" t="s">
        <v>272</v>
      </c>
      <c r="Z24" s="47"/>
      <c r="AA24" s="4"/>
      <c r="AB24" s="7"/>
    </row>
    <row r="25" spans="1:28" ht="42" customHeight="1">
      <c r="A25" s="6" t="s">
        <v>273</v>
      </c>
      <c r="B25" s="4" t="s">
        <v>274</v>
      </c>
      <c r="C25" s="4" t="s">
        <v>275</v>
      </c>
      <c r="D25" s="4" t="s">
        <v>276</v>
      </c>
      <c r="E25" s="4" t="s">
        <v>105</v>
      </c>
      <c r="F25" s="4" t="s">
        <v>27</v>
      </c>
      <c r="G25" s="4"/>
      <c r="H25" s="4" t="s">
        <v>277</v>
      </c>
      <c r="I25" s="4" t="s">
        <v>278</v>
      </c>
      <c r="J25" s="7" t="s">
        <v>279</v>
      </c>
      <c r="K25" s="7" t="s">
        <v>279</v>
      </c>
      <c r="L25" s="4" t="s">
        <v>215</v>
      </c>
      <c r="M25" s="4" t="s">
        <v>90</v>
      </c>
      <c r="N25" s="4" t="s">
        <v>235</v>
      </c>
      <c r="O25" s="4" t="s">
        <v>228</v>
      </c>
      <c r="P25" s="5">
        <v>46270.666666666664</v>
      </c>
      <c r="Q25" s="4" t="s">
        <v>217</v>
      </c>
      <c r="R25" s="31" t="s">
        <v>23</v>
      </c>
      <c r="S25" s="33">
        <v>92</v>
      </c>
      <c r="T25" s="31" t="s">
        <v>94</v>
      </c>
      <c r="U25" s="33">
        <v>200</v>
      </c>
      <c r="V25" s="31" t="s">
        <v>95</v>
      </c>
      <c r="W25" s="7" t="s">
        <v>279</v>
      </c>
      <c r="X25" s="35">
        <v>46271.058341597221</v>
      </c>
      <c r="Y25" s="31" t="s">
        <v>280</v>
      </c>
      <c r="Z25" s="47"/>
      <c r="AA25" s="4"/>
      <c r="AB25" s="7"/>
    </row>
    <row r="26" spans="1:28" ht="42" customHeight="1">
      <c r="A26" s="6" t="s">
        <v>281</v>
      </c>
      <c r="B26" s="4" t="s">
        <v>282</v>
      </c>
      <c r="C26" s="4" t="s">
        <v>210</v>
      </c>
      <c r="D26" s="4" t="s">
        <v>283</v>
      </c>
      <c r="E26" s="4" t="s">
        <v>105</v>
      </c>
      <c r="F26" s="4" t="s">
        <v>27</v>
      </c>
      <c r="G26" s="4"/>
      <c r="H26" s="4" t="s">
        <v>284</v>
      </c>
      <c r="I26" s="4" t="s">
        <v>285</v>
      </c>
      <c r="J26" s="7" t="s">
        <v>286</v>
      </c>
      <c r="K26" s="7" t="s">
        <v>286</v>
      </c>
      <c r="L26" s="4" t="s">
        <v>215</v>
      </c>
      <c r="M26" s="4" t="s">
        <v>90</v>
      </c>
      <c r="N26" s="4" t="s">
        <v>235</v>
      </c>
      <c r="O26" s="4" t="s">
        <v>228</v>
      </c>
      <c r="P26" s="5">
        <v>46270.666666666664</v>
      </c>
      <c r="Q26" s="4" t="s">
        <v>217</v>
      </c>
      <c r="R26" s="31" t="s">
        <v>23</v>
      </c>
      <c r="S26" s="33">
        <v>85</v>
      </c>
      <c r="T26" s="31" t="s">
        <v>94</v>
      </c>
      <c r="U26" s="33">
        <v>200</v>
      </c>
      <c r="V26" s="31" t="s">
        <v>110</v>
      </c>
      <c r="W26" s="7" t="s">
        <v>286</v>
      </c>
      <c r="X26" s="35">
        <v>46271.058349432868</v>
      </c>
      <c r="Y26" s="31" t="s">
        <v>287</v>
      </c>
      <c r="Z26" s="47"/>
      <c r="AA26" s="4"/>
      <c r="AB26" s="7"/>
    </row>
    <row r="27" spans="1:28" ht="84" customHeight="1">
      <c r="A27" s="6" t="s">
        <v>288</v>
      </c>
      <c r="B27" s="4" t="s">
        <v>289</v>
      </c>
      <c r="C27" s="4" t="s">
        <v>290</v>
      </c>
      <c r="D27" s="4" t="s">
        <v>291</v>
      </c>
      <c r="E27" s="4" t="s">
        <v>105</v>
      </c>
      <c r="F27" s="4" t="s">
        <v>26</v>
      </c>
      <c r="G27" s="4"/>
      <c r="H27" s="4" t="s">
        <v>292</v>
      </c>
      <c r="I27" s="4" t="s">
        <v>293</v>
      </c>
      <c r="J27" s="7" t="s">
        <v>294</v>
      </c>
      <c r="K27" s="7" t="s">
        <v>294</v>
      </c>
      <c r="L27" s="4" t="s">
        <v>89</v>
      </c>
      <c r="M27" s="4" t="s">
        <v>90</v>
      </c>
      <c r="N27" s="4" t="s">
        <v>91</v>
      </c>
      <c r="O27" s="4" t="s">
        <v>295</v>
      </c>
      <c r="P27" s="50">
        <v>46326</v>
      </c>
      <c r="Q27" s="4" t="s">
        <v>296</v>
      </c>
      <c r="R27" s="31" t="s">
        <v>23</v>
      </c>
      <c r="S27" s="33">
        <v>90</v>
      </c>
      <c r="T27" s="31" t="s">
        <v>94</v>
      </c>
      <c r="U27" s="33">
        <v>200</v>
      </c>
      <c r="V27" s="31" t="s">
        <v>95</v>
      </c>
      <c r="W27" s="7" t="s">
        <v>294</v>
      </c>
      <c r="X27" s="35">
        <v>46271.058363506942</v>
      </c>
      <c r="Y27" s="31" t="s">
        <v>244</v>
      </c>
      <c r="Z27" s="47">
        <v>215</v>
      </c>
      <c r="AA27" s="4" t="s">
        <v>10</v>
      </c>
      <c r="AB27" s="7" t="s">
        <v>97</v>
      </c>
    </row>
    <row r="28" spans="1:28" ht="42" customHeight="1">
      <c r="A28" s="6" t="s">
        <v>297</v>
      </c>
      <c r="B28" s="4" t="s">
        <v>298</v>
      </c>
      <c r="C28" s="4" t="s">
        <v>298</v>
      </c>
      <c r="D28" s="4" t="s">
        <v>291</v>
      </c>
      <c r="E28" s="4" t="s">
        <v>105</v>
      </c>
      <c r="F28" s="4" t="s">
        <v>26</v>
      </c>
      <c r="G28" s="4"/>
      <c r="H28" s="4" t="s">
        <v>299</v>
      </c>
      <c r="I28" s="4" t="s">
        <v>293</v>
      </c>
      <c r="J28" s="7" t="s">
        <v>300</v>
      </c>
      <c r="K28" s="7" t="s">
        <v>300</v>
      </c>
      <c r="L28" s="4" t="s">
        <v>215</v>
      </c>
      <c r="M28" s="4" t="s">
        <v>90</v>
      </c>
      <c r="N28" s="4" t="s">
        <v>91</v>
      </c>
      <c r="O28" s="4" t="s">
        <v>216</v>
      </c>
      <c r="P28" s="5">
        <v>46270.666666666664</v>
      </c>
      <c r="Q28" s="4" t="s">
        <v>217</v>
      </c>
      <c r="R28" s="31" t="s">
        <v>23</v>
      </c>
      <c r="S28" s="33">
        <v>88</v>
      </c>
      <c r="T28" s="31" t="s">
        <v>94</v>
      </c>
      <c r="U28" s="33">
        <v>200</v>
      </c>
      <c r="V28" s="31" t="s">
        <v>95</v>
      </c>
      <c r="W28" s="7" t="s">
        <v>300</v>
      </c>
      <c r="X28" s="35">
        <v>46271.058355879628</v>
      </c>
      <c r="Y28" s="31" t="s">
        <v>287</v>
      </c>
      <c r="Z28" s="47"/>
      <c r="AA28" s="4"/>
      <c r="AB28" s="7"/>
    </row>
    <row r="29" spans="1:28" ht="84" customHeight="1">
      <c r="A29" s="6" t="s">
        <v>301</v>
      </c>
      <c r="B29" s="4" t="s">
        <v>302</v>
      </c>
      <c r="C29" s="4" t="s">
        <v>303</v>
      </c>
      <c r="D29" s="4" t="s">
        <v>291</v>
      </c>
      <c r="E29" s="4" t="s">
        <v>105</v>
      </c>
      <c r="F29" s="4" t="s">
        <v>304</v>
      </c>
      <c r="G29" s="4"/>
      <c r="H29" s="4" t="s">
        <v>305</v>
      </c>
      <c r="I29" s="4" t="s">
        <v>306</v>
      </c>
      <c r="J29" s="7" t="s">
        <v>187</v>
      </c>
      <c r="K29" s="7" t="s">
        <v>307</v>
      </c>
      <c r="L29" s="4" t="s">
        <v>89</v>
      </c>
      <c r="M29" s="4" t="s">
        <v>90</v>
      </c>
      <c r="N29" s="4" t="s">
        <v>91</v>
      </c>
      <c r="O29" s="4" t="s">
        <v>308</v>
      </c>
      <c r="P29" s="50">
        <v>46326</v>
      </c>
      <c r="Q29" s="4" t="s">
        <v>309</v>
      </c>
      <c r="R29" s="31" t="s">
        <v>23</v>
      </c>
      <c r="S29" s="33">
        <v>80</v>
      </c>
      <c r="T29" s="31" t="s">
        <v>94</v>
      </c>
      <c r="U29" s="33">
        <v>200</v>
      </c>
      <c r="V29" s="31" t="s">
        <v>95</v>
      </c>
      <c r="W29" s="7" t="s">
        <v>307</v>
      </c>
      <c r="X29" s="35">
        <v>46285.625</v>
      </c>
      <c r="Y29" s="31" t="s">
        <v>310</v>
      </c>
      <c r="Z29" s="47">
        <v>465</v>
      </c>
      <c r="AA29" s="4" t="s">
        <v>10</v>
      </c>
      <c r="AB29" s="7" t="s">
        <v>97</v>
      </c>
    </row>
    <row r="30" spans="1:28" ht="84" customHeight="1">
      <c r="A30" s="6" t="s">
        <v>311</v>
      </c>
      <c r="B30" s="4" t="s">
        <v>312</v>
      </c>
      <c r="C30" s="4" t="s">
        <v>313</v>
      </c>
      <c r="D30" s="4" t="s">
        <v>291</v>
      </c>
      <c r="E30" s="4" t="s">
        <v>105</v>
      </c>
      <c r="F30" s="4" t="s">
        <v>26</v>
      </c>
      <c r="G30" s="4"/>
      <c r="H30" s="4" t="s">
        <v>314</v>
      </c>
      <c r="I30" s="4" t="s">
        <v>293</v>
      </c>
      <c r="J30" s="7" t="s">
        <v>315</v>
      </c>
      <c r="K30" s="7" t="s">
        <v>316</v>
      </c>
      <c r="L30" s="4" t="s">
        <v>89</v>
      </c>
      <c r="M30" s="4" t="s">
        <v>90</v>
      </c>
      <c r="N30" s="4" t="s">
        <v>91</v>
      </c>
      <c r="O30" s="4" t="s">
        <v>317</v>
      </c>
      <c r="P30" s="50">
        <v>46326</v>
      </c>
      <c r="Q30" s="4" t="s">
        <v>318</v>
      </c>
      <c r="R30" s="31" t="s">
        <v>6</v>
      </c>
      <c r="S30" s="33">
        <v>50</v>
      </c>
      <c r="T30" s="31" t="s">
        <v>218</v>
      </c>
      <c r="U30" s="33">
        <v>200</v>
      </c>
      <c r="V30" s="31" t="s">
        <v>95</v>
      </c>
      <c r="W30" s="7" t="s">
        <v>319</v>
      </c>
      <c r="X30" s="35">
        <v>46271.058373414351</v>
      </c>
      <c r="Y30" s="31" t="s">
        <v>320</v>
      </c>
      <c r="Z30" s="47">
        <v>1355</v>
      </c>
      <c r="AA30" s="4" t="s">
        <v>10</v>
      </c>
      <c r="AB30" s="7" t="s">
        <v>97</v>
      </c>
    </row>
    <row r="31" spans="1:28" ht="42" customHeight="1">
      <c r="A31" s="6" t="s">
        <v>321</v>
      </c>
      <c r="B31" s="4" t="s">
        <v>322</v>
      </c>
      <c r="C31" s="4" t="s">
        <v>322</v>
      </c>
      <c r="D31" s="4" t="s">
        <v>291</v>
      </c>
      <c r="E31" s="4" t="s">
        <v>105</v>
      </c>
      <c r="F31" s="4" t="s">
        <v>26</v>
      </c>
      <c r="G31" s="4"/>
      <c r="H31" s="4" t="s">
        <v>323</v>
      </c>
      <c r="I31" s="4" t="s">
        <v>293</v>
      </c>
      <c r="J31" s="7" t="s">
        <v>324</v>
      </c>
      <c r="K31" s="7" t="s">
        <v>324</v>
      </c>
      <c r="L31" s="4" t="s">
        <v>215</v>
      </c>
      <c r="M31" s="4" t="s">
        <v>90</v>
      </c>
      <c r="N31" s="4" t="s">
        <v>235</v>
      </c>
      <c r="O31" s="4" t="s">
        <v>216</v>
      </c>
      <c r="P31" s="5">
        <v>46270.666666666664</v>
      </c>
      <c r="Q31" s="4" t="s">
        <v>217</v>
      </c>
      <c r="R31" s="31" t="s">
        <v>6</v>
      </c>
      <c r="S31" s="33">
        <v>56</v>
      </c>
      <c r="T31" s="31" t="s">
        <v>218</v>
      </c>
      <c r="U31" s="33">
        <v>200</v>
      </c>
      <c r="V31" s="31" t="s">
        <v>95</v>
      </c>
      <c r="W31" s="7" t="s">
        <v>324</v>
      </c>
      <c r="X31" s="35">
        <v>46271.058375023145</v>
      </c>
      <c r="Y31" s="31" t="s">
        <v>325</v>
      </c>
      <c r="Z31" s="47"/>
      <c r="AA31" s="4"/>
      <c r="AB31" s="7"/>
    </row>
    <row r="32" spans="1:28" ht="42" customHeight="1">
      <c r="A32" s="6" t="s">
        <v>326</v>
      </c>
      <c r="B32" s="4" t="s">
        <v>327</v>
      </c>
      <c r="C32" s="4" t="s">
        <v>327</v>
      </c>
      <c r="D32" s="4" t="s">
        <v>328</v>
      </c>
      <c r="E32" s="4" t="s">
        <v>105</v>
      </c>
      <c r="F32" s="4" t="s">
        <v>26</v>
      </c>
      <c r="G32" s="4"/>
      <c r="H32" s="4" t="s">
        <v>329</v>
      </c>
      <c r="I32" s="4" t="s">
        <v>330</v>
      </c>
      <c r="J32" s="7" t="s">
        <v>331</v>
      </c>
      <c r="K32" s="7" t="s">
        <v>331</v>
      </c>
      <c r="L32" s="4" t="s">
        <v>215</v>
      </c>
      <c r="M32" s="4" t="s">
        <v>90</v>
      </c>
      <c r="N32" s="4" t="s">
        <v>235</v>
      </c>
      <c r="O32" s="4" t="s">
        <v>228</v>
      </c>
      <c r="P32" s="5">
        <v>46270.666666666664</v>
      </c>
      <c r="Q32" s="4" t="s">
        <v>217</v>
      </c>
      <c r="R32" s="31" t="s">
        <v>23</v>
      </c>
      <c r="S32" s="33">
        <v>100</v>
      </c>
      <c r="T32" s="31" t="s">
        <v>94</v>
      </c>
      <c r="U32" s="33">
        <v>200</v>
      </c>
      <c r="V32" s="31" t="s">
        <v>95</v>
      </c>
      <c r="W32" s="7" t="s">
        <v>332</v>
      </c>
      <c r="X32" s="35">
        <v>46271.058382118055</v>
      </c>
      <c r="Y32" s="31" t="s">
        <v>333</v>
      </c>
      <c r="Z32" s="47"/>
      <c r="AA32" s="4"/>
      <c r="AB32" s="7"/>
    </row>
    <row r="33" spans="1:28" ht="42" customHeight="1">
      <c r="A33" s="6" t="s">
        <v>334</v>
      </c>
      <c r="B33" s="4" t="s">
        <v>335</v>
      </c>
      <c r="C33" s="4" t="s">
        <v>335</v>
      </c>
      <c r="D33" s="4" t="s">
        <v>291</v>
      </c>
      <c r="E33" s="4" t="s">
        <v>105</v>
      </c>
      <c r="F33" s="4" t="s">
        <v>26</v>
      </c>
      <c r="G33" s="4"/>
      <c r="H33" s="4" t="s">
        <v>299</v>
      </c>
      <c r="I33" s="4" t="s">
        <v>293</v>
      </c>
      <c r="J33" s="7" t="s">
        <v>336</v>
      </c>
      <c r="K33" s="7" t="s">
        <v>336</v>
      </c>
      <c r="L33" s="4" t="s">
        <v>215</v>
      </c>
      <c r="M33" s="4" t="s">
        <v>90</v>
      </c>
      <c r="N33" s="4" t="s">
        <v>235</v>
      </c>
      <c r="O33" s="4" t="s">
        <v>228</v>
      </c>
      <c r="P33" s="5">
        <v>46270.666666666664</v>
      </c>
      <c r="Q33" s="4" t="s">
        <v>217</v>
      </c>
      <c r="R33" s="31" t="s">
        <v>23</v>
      </c>
      <c r="S33" s="33">
        <v>94</v>
      </c>
      <c r="T33" s="31" t="s">
        <v>94</v>
      </c>
      <c r="U33" s="33">
        <v>200</v>
      </c>
      <c r="V33" s="31" t="s">
        <v>95</v>
      </c>
      <c r="W33" s="7" t="s">
        <v>337</v>
      </c>
      <c r="X33" s="35">
        <v>46271.058403252318</v>
      </c>
      <c r="Y33" s="31" t="s">
        <v>338</v>
      </c>
      <c r="Z33" s="47"/>
      <c r="AA33" s="4"/>
      <c r="AB33" s="7"/>
    </row>
    <row r="34" spans="1:28" ht="42" customHeight="1">
      <c r="A34" s="6" t="s">
        <v>339</v>
      </c>
      <c r="B34" s="4" t="s">
        <v>340</v>
      </c>
      <c r="C34" s="4" t="s">
        <v>340</v>
      </c>
      <c r="D34" s="4" t="s">
        <v>291</v>
      </c>
      <c r="E34" s="4" t="s">
        <v>105</v>
      </c>
      <c r="F34" s="4" t="s">
        <v>26</v>
      </c>
      <c r="G34" s="4"/>
      <c r="H34" s="4" t="s">
        <v>341</v>
      </c>
      <c r="I34" s="4" t="s">
        <v>293</v>
      </c>
      <c r="J34" s="7" t="s">
        <v>342</v>
      </c>
      <c r="K34" s="7" t="s">
        <v>342</v>
      </c>
      <c r="L34" s="4" t="s">
        <v>215</v>
      </c>
      <c r="M34" s="4" t="s">
        <v>90</v>
      </c>
      <c r="N34" s="4" t="s">
        <v>235</v>
      </c>
      <c r="O34" s="4" t="s">
        <v>228</v>
      </c>
      <c r="P34" s="5">
        <v>46270.666666666664</v>
      </c>
      <c r="Q34" s="4" t="s">
        <v>217</v>
      </c>
      <c r="R34" s="31" t="s">
        <v>6</v>
      </c>
      <c r="S34" s="33">
        <v>33</v>
      </c>
      <c r="T34" s="31" t="s">
        <v>218</v>
      </c>
      <c r="U34" s="33">
        <v>403</v>
      </c>
      <c r="V34" s="31" t="s">
        <v>95</v>
      </c>
      <c r="W34" s="7" t="s">
        <v>342</v>
      </c>
      <c r="X34" s="35">
        <v>46271.058390162034</v>
      </c>
      <c r="Y34" s="31" t="s">
        <v>343</v>
      </c>
      <c r="Z34" s="47"/>
      <c r="AA34" s="4"/>
      <c r="AB34" s="7"/>
    </row>
    <row r="35" spans="1:28" ht="42" customHeight="1">
      <c r="A35" s="6" t="s">
        <v>344</v>
      </c>
      <c r="B35" s="4" t="s">
        <v>345</v>
      </c>
      <c r="C35" s="4" t="s">
        <v>345</v>
      </c>
      <c r="D35" s="4" t="s">
        <v>346</v>
      </c>
      <c r="E35" s="4" t="s">
        <v>105</v>
      </c>
      <c r="F35" s="4" t="s">
        <v>27</v>
      </c>
      <c r="G35" s="4"/>
      <c r="H35" s="4" t="s">
        <v>347</v>
      </c>
      <c r="I35" s="4" t="s">
        <v>293</v>
      </c>
      <c r="J35" s="7" t="s">
        <v>348</v>
      </c>
      <c r="K35" s="7" t="s">
        <v>348</v>
      </c>
      <c r="L35" s="4" t="s">
        <v>215</v>
      </c>
      <c r="M35" s="4" t="s">
        <v>90</v>
      </c>
      <c r="N35" s="4" t="s">
        <v>91</v>
      </c>
      <c r="O35" s="4" t="s">
        <v>216</v>
      </c>
      <c r="P35" s="5">
        <v>46270.666666666664</v>
      </c>
      <c r="Q35" s="4" t="s">
        <v>217</v>
      </c>
      <c r="R35" s="31" t="s">
        <v>6</v>
      </c>
      <c r="S35" s="33">
        <v>72</v>
      </c>
      <c r="T35" s="31" t="s">
        <v>218</v>
      </c>
      <c r="U35" s="33">
        <v>200</v>
      </c>
      <c r="V35" s="31" t="s">
        <v>95</v>
      </c>
      <c r="W35" s="7" t="s">
        <v>348</v>
      </c>
      <c r="X35" s="35">
        <v>46271.058400925926</v>
      </c>
      <c r="Y35" s="31" t="s">
        <v>320</v>
      </c>
      <c r="Z35" s="47"/>
      <c r="AA35" s="4"/>
      <c r="AB35" s="7"/>
    </row>
    <row r="36" spans="1:28" ht="42" customHeight="1">
      <c r="A36" s="6" t="s">
        <v>349</v>
      </c>
      <c r="B36" s="4" t="s">
        <v>350</v>
      </c>
      <c r="C36" s="4" t="s">
        <v>351</v>
      </c>
      <c r="D36" s="4" t="s">
        <v>352</v>
      </c>
      <c r="E36" s="4" t="s">
        <v>353</v>
      </c>
      <c r="F36" s="4" t="s">
        <v>28</v>
      </c>
      <c r="G36" s="4" t="s">
        <v>354</v>
      </c>
      <c r="H36" s="4" t="s">
        <v>355</v>
      </c>
      <c r="I36" s="4" t="s">
        <v>356</v>
      </c>
      <c r="J36" s="7" t="s">
        <v>357</v>
      </c>
      <c r="K36" s="7" t="s">
        <v>357</v>
      </c>
      <c r="L36" s="4" t="s">
        <v>215</v>
      </c>
      <c r="M36" s="4" t="s">
        <v>90</v>
      </c>
      <c r="N36" s="4" t="s">
        <v>235</v>
      </c>
      <c r="O36" s="4" t="s">
        <v>228</v>
      </c>
      <c r="P36" s="5">
        <v>46270.666666666664</v>
      </c>
      <c r="Q36" s="4" t="s">
        <v>217</v>
      </c>
      <c r="R36" s="31" t="s">
        <v>23</v>
      </c>
      <c r="S36" s="33">
        <v>74</v>
      </c>
      <c r="T36" s="31" t="s">
        <v>218</v>
      </c>
      <c r="U36" s="33">
        <v>200</v>
      </c>
      <c r="V36" s="31" t="s">
        <v>95</v>
      </c>
      <c r="W36" s="7" t="s">
        <v>357</v>
      </c>
      <c r="X36" s="35">
        <v>46271.058420833331</v>
      </c>
      <c r="Y36" s="31" t="s">
        <v>244</v>
      </c>
      <c r="Z36" s="47"/>
      <c r="AA36" s="4"/>
      <c r="AB36" s="7"/>
    </row>
    <row r="37" spans="1:28" ht="42" customHeight="1">
      <c r="A37" s="6" t="s">
        <v>358</v>
      </c>
      <c r="B37" s="4" t="s">
        <v>359</v>
      </c>
      <c r="C37" s="4" t="s">
        <v>360</v>
      </c>
      <c r="D37" s="4" t="s">
        <v>361</v>
      </c>
      <c r="E37" s="4" t="s">
        <v>362</v>
      </c>
      <c r="F37" s="4" t="s">
        <v>28</v>
      </c>
      <c r="G37" s="4" t="s">
        <v>354</v>
      </c>
      <c r="H37" s="4" t="s">
        <v>363</v>
      </c>
      <c r="I37" s="4" t="s">
        <v>364</v>
      </c>
      <c r="J37" s="7" t="s">
        <v>365</v>
      </c>
      <c r="K37" s="7" t="s">
        <v>365</v>
      </c>
      <c r="L37" s="4" t="s">
        <v>215</v>
      </c>
      <c r="M37" s="4" t="s">
        <v>90</v>
      </c>
      <c r="N37" s="4" t="s">
        <v>235</v>
      </c>
      <c r="O37" s="4" t="s">
        <v>228</v>
      </c>
      <c r="P37" s="5">
        <v>46270.666666666664</v>
      </c>
      <c r="Q37" s="4" t="s">
        <v>217</v>
      </c>
      <c r="R37" s="31" t="s">
        <v>6</v>
      </c>
      <c r="S37" s="33">
        <v>74</v>
      </c>
      <c r="T37" s="31" t="s">
        <v>218</v>
      </c>
      <c r="U37" s="33">
        <v>200</v>
      </c>
      <c r="V37" s="31" t="s">
        <v>95</v>
      </c>
      <c r="W37" s="7" t="s">
        <v>365</v>
      </c>
      <c r="X37" s="35">
        <v>46271.058435613428</v>
      </c>
      <c r="Y37" s="31" t="s">
        <v>366</v>
      </c>
      <c r="Z37" s="47"/>
      <c r="AA37" s="4"/>
      <c r="AB37" s="7"/>
    </row>
    <row r="38" spans="1:28" ht="42" customHeight="1">
      <c r="A38" s="6" t="s">
        <v>367</v>
      </c>
      <c r="B38" s="4" t="s">
        <v>368</v>
      </c>
      <c r="C38" s="4" t="s">
        <v>369</v>
      </c>
      <c r="D38" s="4" t="s">
        <v>352</v>
      </c>
      <c r="E38" s="4" t="s">
        <v>353</v>
      </c>
      <c r="F38" s="4" t="s">
        <v>30</v>
      </c>
      <c r="G38" s="4" t="s">
        <v>370</v>
      </c>
      <c r="H38" s="4" t="s">
        <v>106</v>
      </c>
      <c r="I38" s="4" t="s">
        <v>240</v>
      </c>
      <c r="J38" s="7" t="s">
        <v>371</v>
      </c>
      <c r="K38" s="7" t="s">
        <v>371</v>
      </c>
      <c r="L38" s="4" t="s">
        <v>215</v>
      </c>
      <c r="M38" s="4" t="s">
        <v>90</v>
      </c>
      <c r="N38" s="4" t="s">
        <v>250</v>
      </c>
      <c r="O38" s="4" t="s">
        <v>228</v>
      </c>
      <c r="P38" s="5">
        <v>46270.666666666664</v>
      </c>
      <c r="Q38" s="4" t="s">
        <v>217</v>
      </c>
      <c r="R38" s="31" t="s">
        <v>6</v>
      </c>
      <c r="S38" s="33">
        <v>66</v>
      </c>
      <c r="T38" s="31" t="s">
        <v>218</v>
      </c>
      <c r="U38" s="33">
        <v>200</v>
      </c>
      <c r="V38" s="31" t="s">
        <v>95</v>
      </c>
      <c r="W38" s="7" t="s">
        <v>371</v>
      </c>
      <c r="X38" s="35">
        <v>46271.05840671296</v>
      </c>
      <c r="Y38" s="31" t="s">
        <v>372</v>
      </c>
      <c r="Z38" s="47"/>
      <c r="AA38" s="4"/>
      <c r="AB38" s="7"/>
    </row>
    <row r="39" spans="1:28" ht="42" customHeight="1">
      <c r="A39" s="6" t="s">
        <v>373</v>
      </c>
      <c r="B39" s="4" t="s">
        <v>374</v>
      </c>
      <c r="C39" s="4" t="s">
        <v>375</v>
      </c>
      <c r="D39" s="4" t="s">
        <v>376</v>
      </c>
      <c r="E39" s="4" t="s">
        <v>362</v>
      </c>
      <c r="F39" s="4" t="s">
        <v>30</v>
      </c>
      <c r="G39" s="4" t="s">
        <v>370</v>
      </c>
      <c r="H39" s="4" t="s">
        <v>377</v>
      </c>
      <c r="I39" s="4" t="s">
        <v>293</v>
      </c>
      <c r="J39" s="7" t="s">
        <v>378</v>
      </c>
      <c r="K39" s="7" t="s">
        <v>378</v>
      </c>
      <c r="L39" s="4" t="s">
        <v>215</v>
      </c>
      <c r="M39" s="4" t="s">
        <v>90</v>
      </c>
      <c r="N39" s="4" t="s">
        <v>91</v>
      </c>
      <c r="O39" s="4" t="s">
        <v>228</v>
      </c>
      <c r="P39" s="5">
        <v>46270.666666666664</v>
      </c>
      <c r="Q39" s="4" t="s">
        <v>217</v>
      </c>
      <c r="R39" s="31" t="s">
        <v>6</v>
      </c>
      <c r="S39" s="33">
        <v>32</v>
      </c>
      <c r="T39" s="31" t="s">
        <v>218</v>
      </c>
      <c r="U39" s="33"/>
      <c r="V39" s="31" t="s">
        <v>110</v>
      </c>
      <c r="W39" s="7"/>
      <c r="X39" s="35">
        <v>46271.058390347222</v>
      </c>
      <c r="Y39" s="31" t="s">
        <v>379</v>
      </c>
      <c r="Z39" s="47"/>
      <c r="AA39" s="4"/>
      <c r="AB39" s="7"/>
    </row>
    <row r="40" spans="1:28" ht="42" customHeight="1">
      <c r="A40" s="6" t="s">
        <v>380</v>
      </c>
      <c r="B40" s="4" t="s">
        <v>381</v>
      </c>
      <c r="C40" s="4" t="s">
        <v>382</v>
      </c>
      <c r="D40" s="4" t="s">
        <v>383</v>
      </c>
      <c r="E40" s="4" t="s">
        <v>353</v>
      </c>
      <c r="F40" s="4" t="s">
        <v>32</v>
      </c>
      <c r="G40" s="4" t="s">
        <v>384</v>
      </c>
      <c r="H40" s="4" t="s">
        <v>385</v>
      </c>
      <c r="I40" s="4" t="s">
        <v>240</v>
      </c>
      <c r="J40" s="7" t="s">
        <v>386</v>
      </c>
      <c r="K40" s="7" t="s">
        <v>386</v>
      </c>
      <c r="L40" s="4" t="s">
        <v>215</v>
      </c>
      <c r="M40" s="4" t="s">
        <v>90</v>
      </c>
      <c r="N40" s="4" t="s">
        <v>91</v>
      </c>
      <c r="O40" s="4" t="s">
        <v>228</v>
      </c>
      <c r="P40" s="5">
        <v>46270.666666666664</v>
      </c>
      <c r="Q40" s="4" t="s">
        <v>217</v>
      </c>
      <c r="R40" s="31" t="s">
        <v>23</v>
      </c>
      <c r="S40" s="33">
        <v>83</v>
      </c>
      <c r="T40" s="31" t="s">
        <v>94</v>
      </c>
      <c r="U40" s="33">
        <v>200</v>
      </c>
      <c r="V40" s="31" t="s">
        <v>95</v>
      </c>
      <c r="W40" s="7" t="s">
        <v>386</v>
      </c>
      <c r="X40" s="35">
        <v>46271.058424525465</v>
      </c>
      <c r="Y40" s="31" t="s">
        <v>387</v>
      </c>
      <c r="Z40" s="47"/>
      <c r="AA40" s="4"/>
      <c r="AB40" s="7"/>
    </row>
    <row r="41" spans="1:28" ht="42" customHeight="1">
      <c r="A41" s="6" t="s">
        <v>388</v>
      </c>
      <c r="B41" s="4" t="s">
        <v>389</v>
      </c>
      <c r="C41" s="4" t="s">
        <v>382</v>
      </c>
      <c r="D41" s="4" t="s">
        <v>376</v>
      </c>
      <c r="E41" s="4" t="s">
        <v>362</v>
      </c>
      <c r="F41" s="4" t="s">
        <v>32</v>
      </c>
      <c r="G41" s="4" t="s">
        <v>384</v>
      </c>
      <c r="H41" s="4" t="s">
        <v>377</v>
      </c>
      <c r="I41" s="4" t="s">
        <v>293</v>
      </c>
      <c r="J41" s="7" t="s">
        <v>386</v>
      </c>
      <c r="K41" s="7" t="s">
        <v>386</v>
      </c>
      <c r="L41" s="4" t="s">
        <v>215</v>
      </c>
      <c r="M41" s="4" t="s">
        <v>90</v>
      </c>
      <c r="N41" s="4" t="s">
        <v>235</v>
      </c>
      <c r="O41" s="4" t="s">
        <v>228</v>
      </c>
      <c r="P41" s="5">
        <v>46270.666666666664</v>
      </c>
      <c r="Q41" s="4" t="s">
        <v>217</v>
      </c>
      <c r="R41" s="31" t="s">
        <v>23</v>
      </c>
      <c r="S41" s="33">
        <v>83</v>
      </c>
      <c r="T41" s="31" t="s">
        <v>94</v>
      </c>
      <c r="U41" s="33">
        <v>200</v>
      </c>
      <c r="V41" s="31" t="s">
        <v>95</v>
      </c>
      <c r="W41" s="7" t="s">
        <v>386</v>
      </c>
      <c r="X41" s="35">
        <v>46271.058456296298</v>
      </c>
      <c r="Y41" s="31" t="s">
        <v>387</v>
      </c>
      <c r="Z41" s="47"/>
      <c r="AA41" s="4"/>
      <c r="AB41" s="7"/>
    </row>
    <row r="42" spans="1:28" ht="42" customHeight="1">
      <c r="A42" s="6" t="s">
        <v>390</v>
      </c>
      <c r="B42" s="4" t="s">
        <v>391</v>
      </c>
      <c r="C42" s="4" t="s">
        <v>392</v>
      </c>
      <c r="D42" s="4" t="s">
        <v>393</v>
      </c>
      <c r="E42" s="4" t="s">
        <v>394</v>
      </c>
      <c r="F42" s="4" t="s">
        <v>32</v>
      </c>
      <c r="G42" s="4" t="s">
        <v>395</v>
      </c>
      <c r="H42" s="4" t="s">
        <v>396</v>
      </c>
      <c r="I42" s="4" t="s">
        <v>397</v>
      </c>
      <c r="J42" s="7" t="s">
        <v>398</v>
      </c>
      <c r="K42" s="7" t="s">
        <v>398</v>
      </c>
      <c r="L42" s="4" t="s">
        <v>215</v>
      </c>
      <c r="M42" s="4" t="s">
        <v>90</v>
      </c>
      <c r="N42" s="4" t="s">
        <v>235</v>
      </c>
      <c r="O42" s="4" t="s">
        <v>399</v>
      </c>
      <c r="P42" s="5">
        <v>46270.666666666664</v>
      </c>
      <c r="Q42" s="4" t="s">
        <v>217</v>
      </c>
      <c r="R42" s="31" t="s">
        <v>23</v>
      </c>
      <c r="S42" s="33">
        <v>75</v>
      </c>
      <c r="T42" s="31" t="s">
        <v>218</v>
      </c>
      <c r="U42" s="33">
        <v>200</v>
      </c>
      <c r="V42" s="31" t="s">
        <v>95</v>
      </c>
      <c r="W42" s="7" t="s">
        <v>400</v>
      </c>
      <c r="X42" s="35">
        <v>46271.05847841435</v>
      </c>
      <c r="Y42" s="31" t="s">
        <v>401</v>
      </c>
      <c r="Z42" s="47"/>
      <c r="AA42" s="4"/>
      <c r="AB42" s="7"/>
    </row>
    <row r="43" spans="1:28" ht="42" customHeight="1">
      <c r="A43" s="6" t="s">
        <v>402</v>
      </c>
      <c r="B43" s="4" t="s">
        <v>403</v>
      </c>
      <c r="C43" s="4" t="s">
        <v>404</v>
      </c>
      <c r="D43" s="4" t="s">
        <v>352</v>
      </c>
      <c r="E43" s="4" t="s">
        <v>353</v>
      </c>
      <c r="F43" s="4" t="s">
        <v>33</v>
      </c>
      <c r="G43" s="4" t="s">
        <v>405</v>
      </c>
      <c r="H43" s="4" t="s">
        <v>106</v>
      </c>
      <c r="I43" s="4" t="s">
        <v>356</v>
      </c>
      <c r="J43" s="7" t="s">
        <v>406</v>
      </c>
      <c r="K43" s="7" t="s">
        <v>406</v>
      </c>
      <c r="L43" s="4" t="s">
        <v>215</v>
      </c>
      <c r="M43" s="4" t="s">
        <v>90</v>
      </c>
      <c r="N43" s="4" t="s">
        <v>250</v>
      </c>
      <c r="O43" s="4" t="s">
        <v>228</v>
      </c>
      <c r="P43" s="5">
        <v>46270.666666666664</v>
      </c>
      <c r="Q43" s="4" t="s">
        <v>217</v>
      </c>
      <c r="R43" s="31" t="s">
        <v>23</v>
      </c>
      <c r="S43" s="33">
        <v>84</v>
      </c>
      <c r="T43" s="31" t="s">
        <v>94</v>
      </c>
      <c r="U43" s="33">
        <v>200</v>
      </c>
      <c r="V43" s="31" t="s">
        <v>95</v>
      </c>
      <c r="W43" s="7" t="s">
        <v>406</v>
      </c>
      <c r="X43" s="35">
        <v>46271.058433240738</v>
      </c>
      <c r="Y43" s="31" t="s">
        <v>229</v>
      </c>
      <c r="Z43" s="47"/>
      <c r="AA43" s="4"/>
      <c r="AB43" s="7"/>
    </row>
    <row r="44" spans="1:28" ht="42" customHeight="1">
      <c r="A44" s="6" t="s">
        <v>407</v>
      </c>
      <c r="B44" s="4" t="s">
        <v>408</v>
      </c>
      <c r="C44" s="4" t="s">
        <v>404</v>
      </c>
      <c r="D44" s="4" t="s">
        <v>393</v>
      </c>
      <c r="E44" s="4" t="s">
        <v>362</v>
      </c>
      <c r="F44" s="4" t="s">
        <v>33</v>
      </c>
      <c r="G44" s="4" t="s">
        <v>405</v>
      </c>
      <c r="H44" s="4" t="s">
        <v>409</v>
      </c>
      <c r="I44" s="4" t="s">
        <v>410</v>
      </c>
      <c r="J44" s="7" t="s">
        <v>406</v>
      </c>
      <c r="K44" s="7" t="s">
        <v>406</v>
      </c>
      <c r="L44" s="4" t="s">
        <v>215</v>
      </c>
      <c r="M44" s="4" t="s">
        <v>90</v>
      </c>
      <c r="N44" s="4" t="s">
        <v>235</v>
      </c>
      <c r="O44" s="4" t="s">
        <v>399</v>
      </c>
      <c r="P44" s="5">
        <v>46270.666666666664</v>
      </c>
      <c r="Q44" s="4" t="s">
        <v>217</v>
      </c>
      <c r="R44" s="31" t="s">
        <v>23</v>
      </c>
      <c r="S44" s="33">
        <v>84</v>
      </c>
      <c r="T44" s="31" t="s">
        <v>94</v>
      </c>
      <c r="U44" s="33">
        <v>200</v>
      </c>
      <c r="V44" s="31" t="s">
        <v>95</v>
      </c>
      <c r="W44" s="7" t="s">
        <v>406</v>
      </c>
      <c r="X44" s="35">
        <v>46271.058452974539</v>
      </c>
      <c r="Y44" s="31" t="s">
        <v>229</v>
      </c>
      <c r="Z44" s="47"/>
      <c r="AA44" s="4"/>
      <c r="AB44" s="7"/>
    </row>
    <row r="45" spans="1:28" ht="42" customHeight="1">
      <c r="A45" s="6" t="s">
        <v>411</v>
      </c>
      <c r="B45" s="4" t="s">
        <v>412</v>
      </c>
      <c r="C45" s="4" t="s">
        <v>413</v>
      </c>
      <c r="D45" s="4" t="s">
        <v>352</v>
      </c>
      <c r="E45" s="4" t="s">
        <v>353</v>
      </c>
      <c r="F45" s="4" t="s">
        <v>34</v>
      </c>
      <c r="G45" s="4" t="s">
        <v>414</v>
      </c>
      <c r="H45" s="4" t="s">
        <v>355</v>
      </c>
      <c r="I45" s="4" t="s">
        <v>356</v>
      </c>
      <c r="J45" s="7" t="s">
        <v>415</v>
      </c>
      <c r="K45" s="7" t="s">
        <v>415</v>
      </c>
      <c r="L45" s="4" t="s">
        <v>215</v>
      </c>
      <c r="M45" s="4" t="s">
        <v>90</v>
      </c>
      <c r="N45" s="4" t="s">
        <v>235</v>
      </c>
      <c r="O45" s="4" t="s">
        <v>228</v>
      </c>
      <c r="P45" s="5">
        <v>46270.666666666664</v>
      </c>
      <c r="Q45" s="4" t="s">
        <v>217</v>
      </c>
      <c r="R45" s="31" t="s">
        <v>6</v>
      </c>
      <c r="S45" s="33">
        <v>53</v>
      </c>
      <c r="T45" s="31" t="s">
        <v>218</v>
      </c>
      <c r="U45" s="33">
        <v>200</v>
      </c>
      <c r="V45" s="31" t="s">
        <v>95</v>
      </c>
      <c r="W45" s="7" t="s">
        <v>416</v>
      </c>
      <c r="X45" s="35">
        <v>46271.058443553244</v>
      </c>
      <c r="Y45" s="31" t="s">
        <v>220</v>
      </c>
      <c r="Z45" s="47"/>
      <c r="AA45" s="4"/>
      <c r="AB45" s="7"/>
    </row>
    <row r="46" spans="1:28" ht="42" customHeight="1">
      <c r="A46" s="6" t="s">
        <v>417</v>
      </c>
      <c r="B46" s="4" t="s">
        <v>418</v>
      </c>
      <c r="C46" s="4" t="s">
        <v>413</v>
      </c>
      <c r="D46" s="4" t="s">
        <v>376</v>
      </c>
      <c r="E46" s="4" t="s">
        <v>362</v>
      </c>
      <c r="F46" s="4" t="s">
        <v>34</v>
      </c>
      <c r="G46" s="4" t="s">
        <v>414</v>
      </c>
      <c r="H46" s="4" t="s">
        <v>377</v>
      </c>
      <c r="I46" s="4" t="s">
        <v>410</v>
      </c>
      <c r="J46" s="7" t="s">
        <v>415</v>
      </c>
      <c r="K46" s="7" t="s">
        <v>415</v>
      </c>
      <c r="L46" s="4" t="s">
        <v>215</v>
      </c>
      <c r="M46" s="4" t="s">
        <v>90</v>
      </c>
      <c r="N46" s="4" t="s">
        <v>235</v>
      </c>
      <c r="O46" s="4" t="s">
        <v>399</v>
      </c>
      <c r="P46" s="5">
        <v>46270.666666666664</v>
      </c>
      <c r="Q46" s="4" t="s">
        <v>217</v>
      </c>
      <c r="R46" s="31" t="s">
        <v>6</v>
      </c>
      <c r="S46" s="33">
        <v>57</v>
      </c>
      <c r="T46" s="31" t="s">
        <v>218</v>
      </c>
      <c r="U46" s="33">
        <v>200</v>
      </c>
      <c r="V46" s="31" t="s">
        <v>95</v>
      </c>
      <c r="W46" s="7" t="s">
        <v>416</v>
      </c>
      <c r="X46" s="35">
        <v>46271.058460983797</v>
      </c>
      <c r="Y46" s="31" t="s">
        <v>220</v>
      </c>
      <c r="Z46" s="47"/>
      <c r="AA46" s="4"/>
      <c r="AB46" s="7"/>
    </row>
    <row r="47" spans="1:28" ht="42" customHeight="1">
      <c r="A47" s="6" t="s">
        <v>419</v>
      </c>
      <c r="B47" s="4" t="s">
        <v>420</v>
      </c>
      <c r="C47" s="4" t="s">
        <v>421</v>
      </c>
      <c r="D47" s="4" t="s">
        <v>393</v>
      </c>
      <c r="E47" s="4" t="s">
        <v>353</v>
      </c>
      <c r="F47" s="4" t="s">
        <v>34</v>
      </c>
      <c r="G47" s="4" t="s">
        <v>422</v>
      </c>
      <c r="H47" s="4" t="s">
        <v>423</v>
      </c>
      <c r="I47" s="4" t="s">
        <v>293</v>
      </c>
      <c r="J47" s="7" t="s">
        <v>424</v>
      </c>
      <c r="K47" s="7" t="s">
        <v>424</v>
      </c>
      <c r="L47" s="4" t="s">
        <v>215</v>
      </c>
      <c r="M47" s="4" t="s">
        <v>90</v>
      </c>
      <c r="N47" s="4" t="s">
        <v>91</v>
      </c>
      <c r="O47" s="4" t="s">
        <v>228</v>
      </c>
      <c r="P47" s="5">
        <v>46270.666666666664</v>
      </c>
      <c r="Q47" s="4" t="s">
        <v>217</v>
      </c>
      <c r="R47" s="31" t="s">
        <v>6</v>
      </c>
      <c r="S47" s="33">
        <v>40</v>
      </c>
      <c r="T47" s="31" t="s">
        <v>218</v>
      </c>
      <c r="U47" s="33"/>
      <c r="V47" s="31" t="s">
        <v>110</v>
      </c>
      <c r="W47" s="7"/>
      <c r="X47" s="35">
        <v>46271.058436099534</v>
      </c>
      <c r="Y47" s="31" t="s">
        <v>425</v>
      </c>
      <c r="Z47" s="47"/>
      <c r="AA47" s="4"/>
      <c r="AB47" s="7"/>
    </row>
    <row r="48" spans="1:28" ht="42" customHeight="1">
      <c r="A48" s="6" t="s">
        <v>426</v>
      </c>
      <c r="B48" s="4" t="s">
        <v>427</v>
      </c>
      <c r="C48" s="4" t="s">
        <v>428</v>
      </c>
      <c r="D48" s="4" t="s">
        <v>376</v>
      </c>
      <c r="E48" s="4" t="s">
        <v>362</v>
      </c>
      <c r="F48" s="4" t="s">
        <v>34</v>
      </c>
      <c r="G48" s="4" t="s">
        <v>429</v>
      </c>
      <c r="H48" s="4" t="s">
        <v>377</v>
      </c>
      <c r="I48" s="4" t="s">
        <v>293</v>
      </c>
      <c r="J48" s="7" t="s">
        <v>430</v>
      </c>
      <c r="K48" s="7" t="s">
        <v>430</v>
      </c>
      <c r="L48" s="4" t="s">
        <v>215</v>
      </c>
      <c r="M48" s="4" t="s">
        <v>90</v>
      </c>
      <c r="N48" s="4" t="s">
        <v>91</v>
      </c>
      <c r="O48" s="4" t="s">
        <v>228</v>
      </c>
      <c r="P48" s="5">
        <v>46270.666666666664</v>
      </c>
      <c r="Q48" s="4" t="s">
        <v>217</v>
      </c>
      <c r="R48" s="31" t="s">
        <v>23</v>
      </c>
      <c r="S48" s="33">
        <v>83</v>
      </c>
      <c r="T48" s="31" t="s">
        <v>94</v>
      </c>
      <c r="U48" s="33">
        <v>200</v>
      </c>
      <c r="V48" s="31" t="s">
        <v>110</v>
      </c>
      <c r="W48" s="7" t="s">
        <v>431</v>
      </c>
      <c r="X48" s="35">
        <v>46271.058518287035</v>
      </c>
      <c r="Y48" s="31" t="s">
        <v>432</v>
      </c>
      <c r="Z48" s="47"/>
      <c r="AA48" s="4"/>
      <c r="AB48" s="7"/>
    </row>
    <row r="49" spans="1:28" ht="84" customHeight="1">
      <c r="A49" s="6" t="s">
        <v>433</v>
      </c>
      <c r="B49" s="4" t="s">
        <v>434</v>
      </c>
      <c r="C49" s="4" t="s">
        <v>434</v>
      </c>
      <c r="D49" s="4" t="s">
        <v>393</v>
      </c>
      <c r="E49" s="4" t="s">
        <v>362</v>
      </c>
      <c r="F49" s="4" t="s">
        <v>36</v>
      </c>
      <c r="G49" s="4" t="s">
        <v>204</v>
      </c>
      <c r="H49" s="4" t="s">
        <v>435</v>
      </c>
      <c r="I49" s="4" t="s">
        <v>364</v>
      </c>
      <c r="J49" s="7" t="s">
        <v>436</v>
      </c>
      <c r="K49" s="7" t="s">
        <v>437</v>
      </c>
      <c r="L49" s="4" t="s">
        <v>89</v>
      </c>
      <c r="M49" s="4" t="s">
        <v>90</v>
      </c>
      <c r="N49" s="4" t="s">
        <v>91</v>
      </c>
      <c r="O49" s="4" t="s">
        <v>197</v>
      </c>
      <c r="P49" s="50">
        <v>46326</v>
      </c>
      <c r="Q49" s="4" t="s">
        <v>438</v>
      </c>
      <c r="R49" s="31" t="s">
        <v>23</v>
      </c>
      <c r="S49" s="33">
        <v>100</v>
      </c>
      <c r="T49" s="31" t="s">
        <v>94</v>
      </c>
      <c r="U49" s="33">
        <v>200</v>
      </c>
      <c r="V49" s="31" t="s">
        <v>95</v>
      </c>
      <c r="W49" s="7" t="s">
        <v>437</v>
      </c>
      <c r="X49" s="45">
        <v>46279.625</v>
      </c>
      <c r="Y49" s="31" t="s">
        <v>439</v>
      </c>
      <c r="Z49" s="47">
        <v>3</v>
      </c>
      <c r="AA49" s="4" t="s">
        <v>10</v>
      </c>
      <c r="AB49" s="7" t="s">
        <v>97</v>
      </c>
    </row>
    <row r="50" spans="1:28" ht="42" customHeight="1">
      <c r="A50" s="6" t="s">
        <v>440</v>
      </c>
      <c r="B50" s="4" t="s">
        <v>441</v>
      </c>
      <c r="C50" s="4" t="s">
        <v>210</v>
      </c>
      <c r="D50" s="4" t="s">
        <v>393</v>
      </c>
      <c r="E50" s="4" t="s">
        <v>362</v>
      </c>
      <c r="F50" s="4" t="s">
        <v>36</v>
      </c>
      <c r="G50" s="4" t="s">
        <v>204</v>
      </c>
      <c r="H50" s="4" t="s">
        <v>442</v>
      </c>
      <c r="I50" s="4" t="s">
        <v>364</v>
      </c>
      <c r="J50" s="7" t="s">
        <v>443</v>
      </c>
      <c r="K50" s="7" t="s">
        <v>444</v>
      </c>
      <c r="L50" s="4" t="s">
        <v>215</v>
      </c>
      <c r="M50" s="4" t="s">
        <v>90</v>
      </c>
      <c r="N50" s="4" t="s">
        <v>91</v>
      </c>
      <c r="O50" s="4" t="s">
        <v>228</v>
      </c>
      <c r="P50" s="5">
        <v>46270.666666666664</v>
      </c>
      <c r="Q50" s="4" t="s">
        <v>217</v>
      </c>
      <c r="R50" s="31" t="s">
        <v>23</v>
      </c>
      <c r="S50" s="33">
        <v>100</v>
      </c>
      <c r="T50" s="31" t="s">
        <v>94</v>
      </c>
      <c r="U50" s="33">
        <v>200</v>
      </c>
      <c r="V50" s="31" t="s">
        <v>95</v>
      </c>
      <c r="W50" s="7" t="s">
        <v>443</v>
      </c>
      <c r="X50" s="45">
        <v>46271.058475034719</v>
      </c>
      <c r="Y50" s="31" t="s">
        <v>445</v>
      </c>
      <c r="Z50" s="47"/>
      <c r="AA50" s="4"/>
      <c r="AB50" s="7"/>
    </row>
    <row r="51" spans="1:28" ht="42" customHeight="1">
      <c r="A51" s="6" t="s">
        <v>446</v>
      </c>
      <c r="B51" s="4" t="s">
        <v>447</v>
      </c>
      <c r="C51" s="4" t="s">
        <v>448</v>
      </c>
      <c r="D51" s="4" t="s">
        <v>376</v>
      </c>
      <c r="E51" s="4" t="s">
        <v>362</v>
      </c>
      <c r="F51" s="4" t="s">
        <v>36</v>
      </c>
      <c r="G51" s="4" t="s">
        <v>204</v>
      </c>
      <c r="H51" s="4" t="s">
        <v>377</v>
      </c>
      <c r="I51" s="4" t="s">
        <v>293</v>
      </c>
      <c r="J51" s="7" t="s">
        <v>449</v>
      </c>
      <c r="K51" s="7" t="s">
        <v>449</v>
      </c>
      <c r="L51" s="4" t="s">
        <v>215</v>
      </c>
      <c r="M51" s="4" t="s">
        <v>90</v>
      </c>
      <c r="N51" s="4" t="s">
        <v>91</v>
      </c>
      <c r="O51" s="4" t="s">
        <v>228</v>
      </c>
      <c r="P51" s="5">
        <v>46270.666666666664</v>
      </c>
      <c r="Q51" s="4" t="s">
        <v>217</v>
      </c>
      <c r="R51" s="31" t="s">
        <v>6</v>
      </c>
      <c r="S51" s="33">
        <v>32</v>
      </c>
      <c r="T51" s="31" t="s">
        <v>218</v>
      </c>
      <c r="U51" s="33"/>
      <c r="V51" s="31" t="s">
        <v>110</v>
      </c>
      <c r="W51" s="7"/>
      <c r="X51" s="45">
        <v>46271.058456736107</v>
      </c>
      <c r="Y51" s="31" t="s">
        <v>450</v>
      </c>
      <c r="Z51" s="47"/>
      <c r="AA51" s="4"/>
      <c r="AB51" s="7"/>
    </row>
    <row r="52" spans="1:28" ht="42" customHeight="1">
      <c r="A52" s="6" t="s">
        <v>451</v>
      </c>
      <c r="B52" s="4" t="s">
        <v>452</v>
      </c>
      <c r="C52" s="4" t="s">
        <v>453</v>
      </c>
      <c r="D52" s="4" t="s">
        <v>454</v>
      </c>
      <c r="E52" s="4" t="s">
        <v>362</v>
      </c>
      <c r="F52" s="4" t="s">
        <v>36</v>
      </c>
      <c r="G52" s="4" t="s">
        <v>204</v>
      </c>
      <c r="H52" s="4" t="s">
        <v>455</v>
      </c>
      <c r="I52" s="4" t="s">
        <v>456</v>
      </c>
      <c r="J52" s="7" t="s">
        <v>457</v>
      </c>
      <c r="K52" s="7" t="s">
        <v>457</v>
      </c>
      <c r="L52" s="4" t="s">
        <v>215</v>
      </c>
      <c r="M52" s="4" t="s">
        <v>90</v>
      </c>
      <c r="N52" s="4" t="s">
        <v>235</v>
      </c>
      <c r="O52" s="4" t="s">
        <v>228</v>
      </c>
      <c r="P52" s="5">
        <v>46270.666666666664</v>
      </c>
      <c r="Q52" s="4" t="s">
        <v>217</v>
      </c>
      <c r="R52" s="31" t="s">
        <v>23</v>
      </c>
      <c r="S52" s="33">
        <v>91</v>
      </c>
      <c r="T52" s="31" t="s">
        <v>94</v>
      </c>
      <c r="U52" s="33">
        <v>200</v>
      </c>
      <c r="V52" s="31" t="s">
        <v>95</v>
      </c>
      <c r="W52" s="7" t="s">
        <v>458</v>
      </c>
      <c r="X52" s="45">
        <v>46271.058700636575</v>
      </c>
      <c r="Y52" s="31" t="s">
        <v>244</v>
      </c>
      <c r="Z52" s="47"/>
      <c r="AA52" s="4"/>
      <c r="AB52" s="7"/>
    </row>
    <row r="53" spans="1:28" ht="42" customHeight="1">
      <c r="A53" s="6" t="s">
        <v>459</v>
      </c>
      <c r="B53" s="4" t="s">
        <v>460</v>
      </c>
      <c r="C53" s="4" t="s">
        <v>461</v>
      </c>
      <c r="D53" s="4" t="s">
        <v>361</v>
      </c>
      <c r="E53" s="4" t="s">
        <v>462</v>
      </c>
      <c r="F53" s="4" t="s">
        <v>36</v>
      </c>
      <c r="G53" s="4" t="s">
        <v>115</v>
      </c>
      <c r="H53" s="4" t="s">
        <v>268</v>
      </c>
      <c r="I53" s="4" t="s">
        <v>364</v>
      </c>
      <c r="J53" s="7" t="s">
        <v>463</v>
      </c>
      <c r="K53" s="7" t="s">
        <v>463</v>
      </c>
      <c r="L53" s="4" t="s">
        <v>215</v>
      </c>
      <c r="M53" s="4" t="s">
        <v>90</v>
      </c>
      <c r="N53" s="4" t="s">
        <v>235</v>
      </c>
      <c r="O53" s="4" t="s">
        <v>228</v>
      </c>
      <c r="P53" s="5">
        <v>46270.666666666664</v>
      </c>
      <c r="Q53" s="4" t="s">
        <v>217</v>
      </c>
      <c r="R53" s="31" t="s">
        <v>23</v>
      </c>
      <c r="S53" s="33">
        <v>71</v>
      </c>
      <c r="T53" s="31" t="s">
        <v>218</v>
      </c>
      <c r="U53" s="33">
        <v>200</v>
      </c>
      <c r="V53" s="31" t="s">
        <v>95</v>
      </c>
      <c r="W53" s="7" t="s">
        <v>464</v>
      </c>
      <c r="X53" s="45">
        <v>46271.058549525464</v>
      </c>
      <c r="Y53" s="31" t="s">
        <v>244</v>
      </c>
      <c r="Z53" s="47"/>
      <c r="AA53" s="4"/>
      <c r="AB53" s="7"/>
    </row>
    <row r="54" spans="1:28" ht="42" customHeight="1">
      <c r="A54" s="6" t="s">
        <v>465</v>
      </c>
      <c r="B54" s="4" t="s">
        <v>466</v>
      </c>
      <c r="C54" s="4" t="s">
        <v>467</v>
      </c>
      <c r="D54" s="4" t="s">
        <v>393</v>
      </c>
      <c r="E54" s="4" t="s">
        <v>468</v>
      </c>
      <c r="F54" s="4" t="s">
        <v>39</v>
      </c>
      <c r="G54" s="4" t="s">
        <v>469</v>
      </c>
      <c r="H54" s="4" t="s">
        <v>470</v>
      </c>
      <c r="I54" s="4" t="s">
        <v>293</v>
      </c>
      <c r="J54" s="7" t="s">
        <v>471</v>
      </c>
      <c r="K54" s="7" t="s">
        <v>471</v>
      </c>
      <c r="L54" s="4" t="s">
        <v>215</v>
      </c>
      <c r="M54" s="4" t="s">
        <v>90</v>
      </c>
      <c r="N54" s="4" t="s">
        <v>91</v>
      </c>
      <c r="O54" s="4" t="s">
        <v>228</v>
      </c>
      <c r="P54" s="5">
        <v>46270.666666666664</v>
      </c>
      <c r="Q54" s="4" t="s">
        <v>217</v>
      </c>
      <c r="R54" s="31" t="s">
        <v>23</v>
      </c>
      <c r="S54" s="33">
        <v>88</v>
      </c>
      <c r="T54" s="31" t="s">
        <v>94</v>
      </c>
      <c r="U54" s="33">
        <v>200</v>
      </c>
      <c r="V54" s="31" t="s">
        <v>95</v>
      </c>
      <c r="W54" s="7" t="s">
        <v>471</v>
      </c>
      <c r="X54" s="45">
        <v>46271.058509930554</v>
      </c>
      <c r="Y54" s="31" t="s">
        <v>472</v>
      </c>
      <c r="Z54" s="47"/>
      <c r="AA54" s="4"/>
      <c r="AB54" s="7"/>
    </row>
    <row r="55" spans="1:28" ht="42" customHeight="1">
      <c r="A55" s="6" t="s">
        <v>473</v>
      </c>
      <c r="B55" s="4" t="s">
        <v>474</v>
      </c>
      <c r="C55" s="4" t="s">
        <v>475</v>
      </c>
      <c r="D55" s="4" t="s">
        <v>476</v>
      </c>
      <c r="E55" s="4" t="s">
        <v>105</v>
      </c>
      <c r="F55" s="4" t="s">
        <v>39</v>
      </c>
      <c r="G55" s="4" t="s">
        <v>100</v>
      </c>
      <c r="H55" s="4" t="s">
        <v>477</v>
      </c>
      <c r="I55" s="4" t="s">
        <v>478</v>
      </c>
      <c r="J55" s="7" t="s">
        <v>479</v>
      </c>
      <c r="K55" s="7" t="s">
        <v>479</v>
      </c>
      <c r="L55" s="4" t="s">
        <v>215</v>
      </c>
      <c r="M55" s="4" t="s">
        <v>90</v>
      </c>
      <c r="N55" s="4" t="s">
        <v>91</v>
      </c>
      <c r="O55" s="4" t="s">
        <v>228</v>
      </c>
      <c r="P55" s="5">
        <v>46270.666666666664</v>
      </c>
      <c r="Q55" s="4" t="s">
        <v>217</v>
      </c>
      <c r="R55" s="31" t="s">
        <v>23</v>
      </c>
      <c r="S55" s="33">
        <v>95</v>
      </c>
      <c r="T55" s="31" t="s">
        <v>94</v>
      </c>
      <c r="U55" s="33">
        <v>200</v>
      </c>
      <c r="V55" s="31" t="s">
        <v>95</v>
      </c>
      <c r="W55" s="7" t="s">
        <v>479</v>
      </c>
      <c r="X55" s="45">
        <v>46271.058514282406</v>
      </c>
      <c r="Y55" s="31" t="s">
        <v>244</v>
      </c>
      <c r="Z55" s="47"/>
      <c r="AA55" s="4"/>
      <c r="AB55" s="7"/>
    </row>
    <row r="56" spans="1:28" ht="84" customHeight="1">
      <c r="A56" s="6" t="s">
        <v>480</v>
      </c>
      <c r="B56" s="4" t="s">
        <v>481</v>
      </c>
      <c r="C56" s="4" t="s">
        <v>482</v>
      </c>
      <c r="D56" s="4" t="s">
        <v>83</v>
      </c>
      <c r="E56" s="4" t="s">
        <v>362</v>
      </c>
      <c r="F56" s="4" t="s">
        <v>39</v>
      </c>
      <c r="G56" s="4" t="s">
        <v>100</v>
      </c>
      <c r="H56" s="4" t="s">
        <v>483</v>
      </c>
      <c r="I56" s="4" t="s">
        <v>87</v>
      </c>
      <c r="J56" s="7" t="s">
        <v>484</v>
      </c>
      <c r="K56" s="7" t="s">
        <v>484</v>
      </c>
      <c r="L56" s="4" t="s">
        <v>89</v>
      </c>
      <c r="M56" s="4" t="s">
        <v>90</v>
      </c>
      <c r="N56" s="4" t="s">
        <v>91</v>
      </c>
      <c r="O56" s="4" t="s">
        <v>92</v>
      </c>
      <c r="P56" s="50">
        <v>46326</v>
      </c>
      <c r="Q56" s="4" t="s">
        <v>485</v>
      </c>
      <c r="R56" s="31" t="s">
        <v>23</v>
      </c>
      <c r="S56" s="33">
        <v>100</v>
      </c>
      <c r="T56" s="31" t="s">
        <v>94</v>
      </c>
      <c r="U56" s="33">
        <v>200</v>
      </c>
      <c r="V56" s="31" t="s">
        <v>95</v>
      </c>
      <c r="W56" s="7" t="s">
        <v>484</v>
      </c>
      <c r="X56" s="45">
        <v>46286</v>
      </c>
      <c r="Y56" s="31" t="s">
        <v>486</v>
      </c>
      <c r="Z56" s="47">
        <v>11</v>
      </c>
      <c r="AA56" s="4" t="s">
        <v>10</v>
      </c>
      <c r="AB56" s="7" t="s">
        <v>97</v>
      </c>
    </row>
    <row r="57" spans="1:28" ht="84" customHeight="1">
      <c r="A57" s="6" t="s">
        <v>487</v>
      </c>
      <c r="B57" s="4" t="s">
        <v>488</v>
      </c>
      <c r="C57" s="4" t="s">
        <v>488</v>
      </c>
      <c r="D57" s="4" t="s">
        <v>393</v>
      </c>
      <c r="E57" s="4" t="s">
        <v>468</v>
      </c>
      <c r="F57" s="4" t="s">
        <v>39</v>
      </c>
      <c r="G57" s="4" t="s">
        <v>489</v>
      </c>
      <c r="H57" s="4" t="s">
        <v>490</v>
      </c>
      <c r="I57" s="4" t="s">
        <v>293</v>
      </c>
      <c r="J57" s="7" t="s">
        <v>491</v>
      </c>
      <c r="K57" s="7" t="s">
        <v>492</v>
      </c>
      <c r="L57" s="4" t="s">
        <v>89</v>
      </c>
      <c r="M57" s="4" t="s">
        <v>90</v>
      </c>
      <c r="N57" s="4" t="s">
        <v>91</v>
      </c>
      <c r="O57" s="4" t="s">
        <v>92</v>
      </c>
      <c r="P57" s="50">
        <v>46326</v>
      </c>
      <c r="Q57" s="4" t="s">
        <v>493</v>
      </c>
      <c r="R57" s="31" t="s">
        <v>23</v>
      </c>
      <c r="S57" s="33">
        <v>100</v>
      </c>
      <c r="T57" s="31" t="s">
        <v>94</v>
      </c>
      <c r="U57" s="33">
        <v>200</v>
      </c>
      <c r="V57" s="31" t="s">
        <v>95</v>
      </c>
      <c r="W57" s="7" t="s">
        <v>492</v>
      </c>
      <c r="X57" s="45">
        <v>46279.625</v>
      </c>
      <c r="Y57" s="31" t="s">
        <v>494</v>
      </c>
      <c r="Z57" s="47">
        <v>8</v>
      </c>
      <c r="AA57" s="4" t="s">
        <v>10</v>
      </c>
      <c r="AB57" s="7" t="s">
        <v>97</v>
      </c>
    </row>
    <row r="58" spans="1:28" ht="42" customHeight="1">
      <c r="A58" s="6" t="s">
        <v>495</v>
      </c>
      <c r="B58" s="4" t="s">
        <v>496</v>
      </c>
      <c r="C58" s="4" t="s">
        <v>497</v>
      </c>
      <c r="D58" s="4" t="s">
        <v>498</v>
      </c>
      <c r="E58" s="4" t="s">
        <v>394</v>
      </c>
      <c r="F58" s="4" t="s">
        <v>39</v>
      </c>
      <c r="G58" s="4" t="s">
        <v>489</v>
      </c>
      <c r="H58" s="4" t="s">
        <v>499</v>
      </c>
      <c r="I58" s="4" t="s">
        <v>500</v>
      </c>
      <c r="J58" s="7" t="s">
        <v>501</v>
      </c>
      <c r="K58" s="7" t="s">
        <v>501</v>
      </c>
      <c r="L58" s="4" t="s">
        <v>215</v>
      </c>
      <c r="M58" s="4" t="s">
        <v>90</v>
      </c>
      <c r="N58" s="4" t="s">
        <v>91</v>
      </c>
      <c r="O58" s="4" t="s">
        <v>228</v>
      </c>
      <c r="P58" s="5">
        <v>46270.666666666664</v>
      </c>
      <c r="Q58" s="4" t="s">
        <v>217</v>
      </c>
      <c r="R58" s="31" t="s">
        <v>6</v>
      </c>
      <c r="S58" s="33">
        <v>40</v>
      </c>
      <c r="T58" s="31" t="s">
        <v>218</v>
      </c>
      <c r="U58" s="33"/>
      <c r="V58" s="31" t="s">
        <v>110</v>
      </c>
      <c r="W58" s="7"/>
      <c r="X58" s="45">
        <v>46271.058524108797</v>
      </c>
      <c r="Y58" s="31" t="s">
        <v>502</v>
      </c>
      <c r="Z58" s="47"/>
      <c r="AA58" s="4"/>
      <c r="AB58" s="7"/>
    </row>
    <row r="59" spans="1:28" ht="42" customHeight="1">
      <c r="A59" s="6" t="s">
        <v>503</v>
      </c>
      <c r="B59" s="4" t="s">
        <v>504</v>
      </c>
      <c r="C59" s="4" t="s">
        <v>505</v>
      </c>
      <c r="D59" s="4" t="s">
        <v>352</v>
      </c>
      <c r="E59" s="4" t="s">
        <v>394</v>
      </c>
      <c r="F59" s="4" t="s">
        <v>39</v>
      </c>
      <c r="G59" s="4" t="s">
        <v>506</v>
      </c>
      <c r="H59" s="4" t="s">
        <v>507</v>
      </c>
      <c r="I59" s="4" t="s">
        <v>293</v>
      </c>
      <c r="J59" s="7" t="s">
        <v>508</v>
      </c>
      <c r="K59" s="7" t="s">
        <v>508</v>
      </c>
      <c r="L59" s="4" t="s">
        <v>215</v>
      </c>
      <c r="M59" s="4" t="s">
        <v>90</v>
      </c>
      <c r="N59" s="4" t="s">
        <v>91</v>
      </c>
      <c r="O59" s="4" t="s">
        <v>228</v>
      </c>
      <c r="P59" s="5">
        <v>46270.666666666664</v>
      </c>
      <c r="Q59" s="4" t="s">
        <v>217</v>
      </c>
      <c r="R59" s="31" t="s">
        <v>23</v>
      </c>
      <c r="S59" s="33">
        <v>91</v>
      </c>
      <c r="T59" s="31" t="s">
        <v>94</v>
      </c>
      <c r="U59" s="33">
        <v>200</v>
      </c>
      <c r="V59" s="31" t="s">
        <v>95</v>
      </c>
      <c r="W59" s="7" t="s">
        <v>508</v>
      </c>
      <c r="X59" s="45">
        <v>46271.058556932869</v>
      </c>
      <c r="Y59" s="31" t="s">
        <v>244</v>
      </c>
      <c r="Z59" s="47"/>
      <c r="AA59" s="4"/>
      <c r="AB59" s="7"/>
    </row>
    <row r="60" spans="1:28" ht="42" customHeight="1">
      <c r="A60" s="6" t="s">
        <v>509</v>
      </c>
      <c r="B60" s="4" t="s">
        <v>510</v>
      </c>
      <c r="C60" s="4" t="s">
        <v>511</v>
      </c>
      <c r="D60" s="4" t="s">
        <v>352</v>
      </c>
      <c r="E60" s="4" t="s">
        <v>394</v>
      </c>
      <c r="F60" s="4" t="s">
        <v>39</v>
      </c>
      <c r="G60" s="4" t="s">
        <v>512</v>
      </c>
      <c r="H60" s="4" t="s">
        <v>106</v>
      </c>
      <c r="I60" s="4" t="s">
        <v>293</v>
      </c>
      <c r="J60" s="7" t="s">
        <v>513</v>
      </c>
      <c r="K60" s="7" t="s">
        <v>513</v>
      </c>
      <c r="L60" s="4" t="s">
        <v>215</v>
      </c>
      <c r="M60" s="4" t="s">
        <v>90</v>
      </c>
      <c r="N60" s="4" t="s">
        <v>91</v>
      </c>
      <c r="O60" s="4" t="s">
        <v>228</v>
      </c>
      <c r="P60" s="5">
        <v>46270.666666666664</v>
      </c>
      <c r="Q60" s="4" t="s">
        <v>217</v>
      </c>
      <c r="R60" s="31" t="s">
        <v>6</v>
      </c>
      <c r="S60" s="33">
        <v>53</v>
      </c>
      <c r="T60" s="31" t="s">
        <v>218</v>
      </c>
      <c r="U60" s="33">
        <v>200</v>
      </c>
      <c r="V60" s="31" t="s">
        <v>95</v>
      </c>
      <c r="W60" s="7" t="s">
        <v>513</v>
      </c>
      <c r="X60" s="45">
        <v>46271.058547685185</v>
      </c>
      <c r="Y60" s="31" t="s">
        <v>220</v>
      </c>
      <c r="Z60" s="47"/>
      <c r="AA60" s="4"/>
      <c r="AB60" s="7"/>
    </row>
    <row r="61" spans="1:28" ht="84" customHeight="1">
      <c r="A61" s="6" t="s">
        <v>514</v>
      </c>
      <c r="B61" s="4" t="s">
        <v>515</v>
      </c>
      <c r="C61" s="4" t="s">
        <v>516</v>
      </c>
      <c r="D61" s="4" t="s">
        <v>352</v>
      </c>
      <c r="E61" s="4" t="s">
        <v>394</v>
      </c>
      <c r="F61" s="4" t="s">
        <v>39</v>
      </c>
      <c r="G61" s="4" t="s">
        <v>517</v>
      </c>
      <c r="H61" s="4" t="s">
        <v>518</v>
      </c>
      <c r="I61" s="4" t="s">
        <v>500</v>
      </c>
      <c r="J61" s="7" t="s">
        <v>519</v>
      </c>
      <c r="K61" s="7" t="s">
        <v>520</v>
      </c>
      <c r="L61" s="4" t="s">
        <v>89</v>
      </c>
      <c r="M61" s="4" t="s">
        <v>90</v>
      </c>
      <c r="N61" s="4" t="s">
        <v>91</v>
      </c>
      <c r="O61" s="4" t="s">
        <v>92</v>
      </c>
      <c r="P61" s="50">
        <v>46326</v>
      </c>
      <c r="Q61" s="4" t="s">
        <v>521</v>
      </c>
      <c r="R61" s="31" t="s">
        <v>23</v>
      </c>
      <c r="S61" s="33">
        <v>100</v>
      </c>
      <c r="T61" s="31" t="s">
        <v>94</v>
      </c>
      <c r="U61" s="33">
        <v>200</v>
      </c>
      <c r="V61" s="31" t="s">
        <v>95</v>
      </c>
      <c r="W61" s="7" t="s">
        <v>520</v>
      </c>
      <c r="X61" s="45">
        <v>46279.625</v>
      </c>
      <c r="Y61" s="31" t="s">
        <v>522</v>
      </c>
      <c r="Z61" s="47">
        <v>0</v>
      </c>
      <c r="AA61" s="4" t="s">
        <v>120</v>
      </c>
      <c r="AB61" s="7" t="s">
        <v>121</v>
      </c>
    </row>
    <row r="62" spans="1:28" ht="42" customHeight="1">
      <c r="A62" s="6" t="s">
        <v>523</v>
      </c>
      <c r="B62" s="4" t="s">
        <v>524</v>
      </c>
      <c r="C62" s="4" t="s">
        <v>525</v>
      </c>
      <c r="D62" s="4" t="s">
        <v>352</v>
      </c>
      <c r="E62" s="4" t="s">
        <v>394</v>
      </c>
      <c r="F62" s="4" t="s">
        <v>39</v>
      </c>
      <c r="G62" s="4" t="s">
        <v>526</v>
      </c>
      <c r="H62" s="4" t="s">
        <v>106</v>
      </c>
      <c r="I62" s="4" t="s">
        <v>500</v>
      </c>
      <c r="J62" s="7" t="s">
        <v>527</v>
      </c>
      <c r="K62" s="7" t="s">
        <v>527</v>
      </c>
      <c r="L62" s="4" t="s">
        <v>215</v>
      </c>
      <c r="M62" s="4" t="s">
        <v>90</v>
      </c>
      <c r="N62" s="4" t="s">
        <v>91</v>
      </c>
      <c r="O62" s="4" t="s">
        <v>228</v>
      </c>
      <c r="P62" s="5">
        <v>46270.666666666664</v>
      </c>
      <c r="Q62" s="4" t="s">
        <v>217</v>
      </c>
      <c r="R62" s="31" t="s">
        <v>6</v>
      </c>
      <c r="S62" s="33">
        <v>28</v>
      </c>
      <c r="T62" s="31" t="s">
        <v>218</v>
      </c>
      <c r="U62" s="33"/>
      <c r="V62" s="31" t="s">
        <v>110</v>
      </c>
      <c r="W62" s="7"/>
      <c r="X62" s="35">
        <v>46271.058548113426</v>
      </c>
      <c r="Y62" s="31" t="s">
        <v>528</v>
      </c>
      <c r="Z62" s="47"/>
      <c r="AA62" s="4"/>
      <c r="AB62" s="7"/>
    </row>
    <row r="63" spans="1:28" ht="42" customHeight="1">
      <c r="A63" s="6" t="s">
        <v>529</v>
      </c>
      <c r="B63" s="4" t="s">
        <v>530</v>
      </c>
      <c r="C63" s="4" t="s">
        <v>531</v>
      </c>
      <c r="D63" s="4" t="s">
        <v>352</v>
      </c>
      <c r="E63" s="4" t="s">
        <v>394</v>
      </c>
      <c r="F63" s="4" t="s">
        <v>39</v>
      </c>
      <c r="G63" s="4" t="s">
        <v>532</v>
      </c>
      <c r="H63" s="4" t="s">
        <v>106</v>
      </c>
      <c r="I63" s="4" t="s">
        <v>293</v>
      </c>
      <c r="J63" s="7" t="s">
        <v>533</v>
      </c>
      <c r="K63" s="7" t="s">
        <v>533</v>
      </c>
      <c r="L63" s="4" t="s">
        <v>215</v>
      </c>
      <c r="M63" s="4" t="s">
        <v>90</v>
      </c>
      <c r="N63" s="4" t="s">
        <v>235</v>
      </c>
      <c r="O63" s="4" t="s">
        <v>228</v>
      </c>
      <c r="P63" s="5">
        <v>46270.666666666664</v>
      </c>
      <c r="Q63" s="4" t="s">
        <v>217</v>
      </c>
      <c r="R63" s="31" t="s">
        <v>23</v>
      </c>
      <c r="S63" s="33">
        <v>100</v>
      </c>
      <c r="T63" s="31" t="s">
        <v>94</v>
      </c>
      <c r="U63" s="33">
        <v>200</v>
      </c>
      <c r="V63" s="31" t="s">
        <v>95</v>
      </c>
      <c r="W63" s="7" t="s">
        <v>534</v>
      </c>
      <c r="X63" s="35">
        <v>46271.058624803241</v>
      </c>
      <c r="Y63" s="31" t="s">
        <v>244</v>
      </c>
      <c r="Z63" s="47"/>
      <c r="AA63" s="4"/>
      <c r="AB63" s="7"/>
    </row>
    <row r="64" spans="1:28" ht="42" customHeight="1">
      <c r="A64" s="6" t="s">
        <v>535</v>
      </c>
      <c r="B64" s="4" t="s">
        <v>536</v>
      </c>
      <c r="C64" s="4" t="s">
        <v>537</v>
      </c>
      <c r="D64" s="4" t="s">
        <v>393</v>
      </c>
      <c r="E64" s="4" t="s">
        <v>394</v>
      </c>
      <c r="F64" s="4" t="s">
        <v>39</v>
      </c>
      <c r="G64" s="4" t="s">
        <v>538</v>
      </c>
      <c r="H64" s="4" t="s">
        <v>539</v>
      </c>
      <c r="I64" s="4" t="s">
        <v>352</v>
      </c>
      <c r="J64" s="7" t="s">
        <v>540</v>
      </c>
      <c r="K64" s="7" t="s">
        <v>540</v>
      </c>
      <c r="L64" s="4" t="s">
        <v>215</v>
      </c>
      <c r="M64" s="4" t="s">
        <v>90</v>
      </c>
      <c r="N64" s="4" t="s">
        <v>235</v>
      </c>
      <c r="O64" s="4" t="s">
        <v>228</v>
      </c>
      <c r="P64" s="5">
        <v>46270.666666666664</v>
      </c>
      <c r="Q64" s="4" t="s">
        <v>217</v>
      </c>
      <c r="R64" s="31" t="s">
        <v>23</v>
      </c>
      <c r="S64" s="33">
        <v>80</v>
      </c>
      <c r="T64" s="31" t="s">
        <v>94</v>
      </c>
      <c r="U64" s="33">
        <v>200</v>
      </c>
      <c r="V64" s="31" t="s">
        <v>95</v>
      </c>
      <c r="W64" s="7" t="s">
        <v>541</v>
      </c>
      <c r="X64" s="35">
        <v>46271.058619340278</v>
      </c>
      <c r="Y64" s="31" t="s">
        <v>542</v>
      </c>
      <c r="Z64" s="47"/>
      <c r="AA64" s="4"/>
      <c r="AB64" s="7"/>
    </row>
    <row r="65" spans="1:28" ht="42" customHeight="1">
      <c r="A65" s="6" t="s">
        <v>543</v>
      </c>
      <c r="B65" s="4" t="s">
        <v>544</v>
      </c>
      <c r="C65" s="4" t="s">
        <v>545</v>
      </c>
      <c r="D65" s="4" t="s">
        <v>393</v>
      </c>
      <c r="E65" s="4" t="s">
        <v>394</v>
      </c>
      <c r="F65" s="4" t="s">
        <v>39</v>
      </c>
      <c r="G65" s="4" t="s">
        <v>546</v>
      </c>
      <c r="H65" s="4" t="s">
        <v>547</v>
      </c>
      <c r="I65" s="4" t="s">
        <v>293</v>
      </c>
      <c r="J65" s="7" t="s">
        <v>548</v>
      </c>
      <c r="K65" s="7" t="s">
        <v>548</v>
      </c>
      <c r="L65" s="4" t="s">
        <v>215</v>
      </c>
      <c r="M65" s="4" t="s">
        <v>90</v>
      </c>
      <c r="N65" s="4" t="s">
        <v>91</v>
      </c>
      <c r="O65" s="4" t="s">
        <v>228</v>
      </c>
      <c r="P65" s="5">
        <v>46270.666666666664</v>
      </c>
      <c r="Q65" s="4" t="s">
        <v>217</v>
      </c>
      <c r="R65" s="31" t="s">
        <v>23</v>
      </c>
      <c r="S65" s="33">
        <v>72</v>
      </c>
      <c r="T65" s="31" t="s">
        <v>218</v>
      </c>
      <c r="U65" s="33">
        <v>200</v>
      </c>
      <c r="V65" s="31" t="s">
        <v>95</v>
      </c>
      <c r="W65" s="7" t="s">
        <v>548</v>
      </c>
      <c r="X65" s="35">
        <v>46271.05859064815</v>
      </c>
      <c r="Y65" s="31" t="s">
        <v>472</v>
      </c>
      <c r="Z65" s="47"/>
      <c r="AA65" s="4"/>
      <c r="AB65" s="7"/>
    </row>
    <row r="66" spans="1:28" ht="42" customHeight="1">
      <c r="A66" s="6" t="s">
        <v>549</v>
      </c>
      <c r="B66" s="4" t="s">
        <v>550</v>
      </c>
      <c r="C66" s="4" t="s">
        <v>551</v>
      </c>
      <c r="D66" s="4" t="s">
        <v>253</v>
      </c>
      <c r="E66" s="4" t="s">
        <v>105</v>
      </c>
      <c r="F66" s="4" t="s">
        <v>27</v>
      </c>
      <c r="G66" s="4"/>
      <c r="H66" s="4" t="s">
        <v>552</v>
      </c>
      <c r="I66" s="4" t="s">
        <v>553</v>
      </c>
      <c r="J66" s="7" t="s">
        <v>554</v>
      </c>
      <c r="K66" s="7" t="s">
        <v>554</v>
      </c>
      <c r="L66" s="4" t="s">
        <v>215</v>
      </c>
      <c r="M66" s="4" t="s">
        <v>90</v>
      </c>
      <c r="N66" s="4" t="s">
        <v>235</v>
      </c>
      <c r="O66" s="4" t="s">
        <v>228</v>
      </c>
      <c r="P66" s="5">
        <v>46270.666666666664</v>
      </c>
      <c r="Q66" s="4" t="s">
        <v>217</v>
      </c>
      <c r="R66" s="31" t="s">
        <v>23</v>
      </c>
      <c r="S66" s="33">
        <v>83</v>
      </c>
      <c r="T66" s="31" t="s">
        <v>94</v>
      </c>
      <c r="U66" s="33">
        <v>200</v>
      </c>
      <c r="V66" s="31" t="s">
        <v>95</v>
      </c>
      <c r="W66" s="7" t="s">
        <v>554</v>
      </c>
      <c r="X66" s="35">
        <v>46271.058617650466</v>
      </c>
      <c r="Y66" s="31" t="s">
        <v>244</v>
      </c>
      <c r="Z66" s="47"/>
      <c r="AA66" s="4"/>
      <c r="AB66" s="7"/>
    </row>
    <row r="67" spans="1:28" ht="42" customHeight="1">
      <c r="A67" s="6" t="s">
        <v>555</v>
      </c>
      <c r="B67" s="4" t="s">
        <v>556</v>
      </c>
      <c r="C67" s="4" t="s">
        <v>223</v>
      </c>
      <c r="D67" s="4" t="s">
        <v>454</v>
      </c>
      <c r="E67" s="4" t="s">
        <v>105</v>
      </c>
      <c r="F67" s="4" t="s">
        <v>39</v>
      </c>
      <c r="G67" s="4" t="s">
        <v>100</v>
      </c>
      <c r="H67" s="4" t="s">
        <v>455</v>
      </c>
      <c r="I67" s="4" t="s">
        <v>557</v>
      </c>
      <c r="J67" s="7" t="s">
        <v>558</v>
      </c>
      <c r="K67" s="7" t="s">
        <v>558</v>
      </c>
      <c r="L67" s="4" t="s">
        <v>215</v>
      </c>
      <c r="M67" s="4" t="s">
        <v>90</v>
      </c>
      <c r="N67" s="4" t="s">
        <v>91</v>
      </c>
      <c r="O67" s="4" t="s">
        <v>228</v>
      </c>
      <c r="P67" s="5">
        <v>46270.666666666664</v>
      </c>
      <c r="Q67" s="4" t="s">
        <v>217</v>
      </c>
      <c r="R67" s="31" t="s">
        <v>23</v>
      </c>
      <c r="S67" s="33">
        <v>95</v>
      </c>
      <c r="T67" s="31" t="s">
        <v>94</v>
      </c>
      <c r="U67" s="33">
        <v>200</v>
      </c>
      <c r="V67" s="31" t="s">
        <v>95</v>
      </c>
      <c r="W67" s="7" t="s">
        <v>558</v>
      </c>
      <c r="X67" s="35">
        <v>46271.058574710645</v>
      </c>
      <c r="Y67" s="31" t="s">
        <v>244</v>
      </c>
      <c r="Z67" s="47"/>
      <c r="AA67" s="4"/>
      <c r="AB67" s="7"/>
    </row>
    <row r="68" spans="1:28" ht="42" customHeight="1">
      <c r="A68" s="6" t="s">
        <v>559</v>
      </c>
      <c r="B68" s="4" t="s">
        <v>560</v>
      </c>
      <c r="C68" s="4" t="s">
        <v>561</v>
      </c>
      <c r="D68" s="4" t="s">
        <v>454</v>
      </c>
      <c r="E68" s="4" t="s">
        <v>105</v>
      </c>
      <c r="F68" s="4" t="s">
        <v>39</v>
      </c>
      <c r="G68" s="4" t="s">
        <v>100</v>
      </c>
      <c r="H68" s="4" t="s">
        <v>562</v>
      </c>
      <c r="I68" s="4" t="s">
        <v>364</v>
      </c>
      <c r="J68" s="7" t="s">
        <v>563</v>
      </c>
      <c r="K68" s="7" t="s">
        <v>563</v>
      </c>
      <c r="L68" s="4" t="s">
        <v>215</v>
      </c>
      <c r="M68" s="4" t="s">
        <v>90</v>
      </c>
      <c r="N68" s="4" t="s">
        <v>91</v>
      </c>
      <c r="O68" s="4" t="s">
        <v>228</v>
      </c>
      <c r="P68" s="5">
        <v>46270.666666666664</v>
      </c>
      <c r="Q68" s="4" t="s">
        <v>217</v>
      </c>
      <c r="R68" s="31" t="s">
        <v>23</v>
      </c>
      <c r="S68" s="33">
        <v>94</v>
      </c>
      <c r="T68" s="31" t="s">
        <v>94</v>
      </c>
      <c r="U68" s="33">
        <v>200</v>
      </c>
      <c r="V68" s="31" t="s">
        <v>95</v>
      </c>
      <c r="W68" s="7" t="s">
        <v>563</v>
      </c>
      <c r="X68" s="35">
        <v>46271.058598877316</v>
      </c>
      <c r="Y68" s="31" t="s">
        <v>244</v>
      </c>
      <c r="Z68" s="47"/>
      <c r="AA68" s="4"/>
      <c r="AB68" s="7"/>
    </row>
    <row r="69" spans="1:28" ht="84" customHeight="1">
      <c r="A69" s="6" t="s">
        <v>564</v>
      </c>
      <c r="B69" s="4" t="s">
        <v>565</v>
      </c>
      <c r="C69" s="4" t="s">
        <v>566</v>
      </c>
      <c r="D69" s="4" t="s">
        <v>454</v>
      </c>
      <c r="E69" s="4" t="s">
        <v>105</v>
      </c>
      <c r="F69" s="4" t="s">
        <v>39</v>
      </c>
      <c r="G69" s="4" t="s">
        <v>100</v>
      </c>
      <c r="H69" s="4" t="s">
        <v>567</v>
      </c>
      <c r="I69" s="4" t="s">
        <v>500</v>
      </c>
      <c r="J69" s="7" t="s">
        <v>568</v>
      </c>
      <c r="K69" s="7" t="s">
        <v>569</v>
      </c>
      <c r="L69" s="4" t="s">
        <v>89</v>
      </c>
      <c r="M69" s="4" t="s">
        <v>90</v>
      </c>
      <c r="N69" s="4" t="s">
        <v>91</v>
      </c>
      <c r="O69" s="4" t="s">
        <v>570</v>
      </c>
      <c r="P69" s="50">
        <v>46326</v>
      </c>
      <c r="Q69" s="4" t="s">
        <v>571</v>
      </c>
      <c r="R69" s="31" t="s">
        <v>6</v>
      </c>
      <c r="S69" s="33">
        <v>75</v>
      </c>
      <c r="T69" s="31" t="s">
        <v>218</v>
      </c>
      <c r="U69" s="33">
        <v>200</v>
      </c>
      <c r="V69" s="31" t="s">
        <v>95</v>
      </c>
      <c r="W69" s="7" t="s">
        <v>569</v>
      </c>
      <c r="X69" s="35">
        <v>46271.058613449073</v>
      </c>
      <c r="Y69" s="31" t="s">
        <v>320</v>
      </c>
      <c r="Z69" s="47">
        <v>4</v>
      </c>
      <c r="AA69" s="4" t="s">
        <v>10</v>
      </c>
      <c r="AB69" s="7" t="s">
        <v>97</v>
      </c>
    </row>
    <row r="70" spans="1:28" ht="42" customHeight="1">
      <c r="A70" s="6" t="s">
        <v>572</v>
      </c>
      <c r="B70" s="4" t="s">
        <v>573</v>
      </c>
      <c r="C70" s="4" t="s">
        <v>574</v>
      </c>
      <c r="D70" s="4" t="s">
        <v>454</v>
      </c>
      <c r="E70" s="4" t="s">
        <v>105</v>
      </c>
      <c r="F70" s="4" t="s">
        <v>39</v>
      </c>
      <c r="G70" s="4" t="s">
        <v>575</v>
      </c>
      <c r="H70" s="4" t="s">
        <v>576</v>
      </c>
      <c r="I70" s="4" t="s">
        <v>456</v>
      </c>
      <c r="J70" s="7" t="s">
        <v>577</v>
      </c>
      <c r="K70" s="7" t="s">
        <v>577</v>
      </c>
      <c r="L70" s="4" t="s">
        <v>215</v>
      </c>
      <c r="M70" s="4" t="s">
        <v>90</v>
      </c>
      <c r="N70" s="4" t="s">
        <v>235</v>
      </c>
      <c r="O70" s="4" t="s">
        <v>228</v>
      </c>
      <c r="P70" s="5">
        <v>46270.666666666664</v>
      </c>
      <c r="Q70" s="4" t="s">
        <v>217</v>
      </c>
      <c r="R70" s="31" t="s">
        <v>23</v>
      </c>
      <c r="S70" s="33">
        <v>100</v>
      </c>
      <c r="T70" s="31" t="s">
        <v>94</v>
      </c>
      <c r="U70" s="33">
        <v>200</v>
      </c>
      <c r="V70" s="31" t="s">
        <v>95</v>
      </c>
      <c r="W70" s="7" t="s">
        <v>577</v>
      </c>
      <c r="X70" s="35">
        <v>46271.058628726852</v>
      </c>
      <c r="Y70" s="31" t="s">
        <v>244</v>
      </c>
      <c r="Z70" s="47"/>
      <c r="AA70" s="4"/>
      <c r="AB70" s="7"/>
    </row>
    <row r="71" spans="1:28" ht="42" customHeight="1">
      <c r="A71" s="6" t="s">
        <v>578</v>
      </c>
      <c r="B71" s="4" t="s">
        <v>579</v>
      </c>
      <c r="C71" s="4" t="s">
        <v>223</v>
      </c>
      <c r="D71" s="4" t="s">
        <v>580</v>
      </c>
      <c r="E71" s="4" t="s">
        <v>105</v>
      </c>
      <c r="F71" s="4" t="s">
        <v>39</v>
      </c>
      <c r="G71" s="4" t="s">
        <v>100</v>
      </c>
      <c r="H71" s="4" t="s">
        <v>581</v>
      </c>
      <c r="I71" s="4" t="s">
        <v>500</v>
      </c>
      <c r="J71" s="7" t="s">
        <v>582</v>
      </c>
      <c r="K71" s="7" t="s">
        <v>582</v>
      </c>
      <c r="L71" s="4" t="s">
        <v>215</v>
      </c>
      <c r="M71" s="4" t="s">
        <v>90</v>
      </c>
      <c r="N71" s="4" t="s">
        <v>91</v>
      </c>
      <c r="O71" s="4" t="s">
        <v>228</v>
      </c>
      <c r="P71" s="5">
        <v>46270.666666666664</v>
      </c>
      <c r="Q71" s="4" t="s">
        <v>217</v>
      </c>
      <c r="R71" s="31" t="s">
        <v>23</v>
      </c>
      <c r="S71" s="33">
        <v>93</v>
      </c>
      <c r="T71" s="31" t="s">
        <v>94</v>
      </c>
      <c r="U71" s="33">
        <v>200</v>
      </c>
      <c r="V71" s="31" t="s">
        <v>95</v>
      </c>
      <c r="W71" s="7" t="s">
        <v>582</v>
      </c>
      <c r="X71" s="35">
        <v>46271.058631319444</v>
      </c>
      <c r="Y71" s="31" t="s">
        <v>244</v>
      </c>
      <c r="Z71" s="47"/>
      <c r="AA71" s="4"/>
      <c r="AB71" s="7"/>
    </row>
    <row r="72" spans="1:28" ht="42" customHeight="1">
      <c r="A72" s="6" t="s">
        <v>583</v>
      </c>
      <c r="B72" s="4" t="s">
        <v>584</v>
      </c>
      <c r="C72" s="4" t="s">
        <v>585</v>
      </c>
      <c r="D72" s="4" t="s">
        <v>586</v>
      </c>
      <c r="E72" s="4" t="s">
        <v>362</v>
      </c>
      <c r="F72" s="4" t="s">
        <v>39</v>
      </c>
      <c r="G72" s="4" t="s">
        <v>512</v>
      </c>
      <c r="H72" s="4" t="s">
        <v>587</v>
      </c>
      <c r="I72" s="4" t="s">
        <v>293</v>
      </c>
      <c r="J72" s="7" t="s">
        <v>588</v>
      </c>
      <c r="K72" s="7" t="s">
        <v>588</v>
      </c>
      <c r="L72" s="4" t="s">
        <v>215</v>
      </c>
      <c r="M72" s="4" t="s">
        <v>90</v>
      </c>
      <c r="N72" s="4" t="s">
        <v>91</v>
      </c>
      <c r="O72" s="4" t="s">
        <v>228</v>
      </c>
      <c r="P72" s="5">
        <v>46270.666666666664</v>
      </c>
      <c r="Q72" s="4" t="s">
        <v>217</v>
      </c>
      <c r="R72" s="31" t="s">
        <v>23</v>
      </c>
      <c r="S72" s="33">
        <v>83</v>
      </c>
      <c r="T72" s="31" t="s">
        <v>94</v>
      </c>
      <c r="U72" s="33">
        <v>200</v>
      </c>
      <c r="V72" s="31" t="s">
        <v>95</v>
      </c>
      <c r="W72" s="7" t="s">
        <v>588</v>
      </c>
      <c r="X72" s="35">
        <v>46271.058647349535</v>
      </c>
      <c r="Y72" s="31" t="s">
        <v>244</v>
      </c>
      <c r="Z72" s="47"/>
      <c r="AA72" s="4"/>
      <c r="AB72" s="7"/>
    </row>
    <row r="73" spans="1:28" ht="42" customHeight="1">
      <c r="A73" s="6" t="s">
        <v>589</v>
      </c>
      <c r="B73" s="4" t="s">
        <v>590</v>
      </c>
      <c r="C73" s="4" t="s">
        <v>561</v>
      </c>
      <c r="D73" s="4" t="s">
        <v>586</v>
      </c>
      <c r="E73" s="4" t="s">
        <v>105</v>
      </c>
      <c r="F73" s="4" t="s">
        <v>39</v>
      </c>
      <c r="G73" s="4" t="s">
        <v>100</v>
      </c>
      <c r="H73" s="4" t="s">
        <v>587</v>
      </c>
      <c r="I73" s="4" t="s">
        <v>293</v>
      </c>
      <c r="J73" s="7" t="s">
        <v>591</v>
      </c>
      <c r="K73" s="7" t="s">
        <v>591</v>
      </c>
      <c r="L73" s="4" t="s">
        <v>215</v>
      </c>
      <c r="M73" s="4" t="s">
        <v>90</v>
      </c>
      <c r="N73" s="4" t="s">
        <v>91</v>
      </c>
      <c r="O73" s="4" t="s">
        <v>228</v>
      </c>
      <c r="P73" s="5">
        <v>46270.666666666664</v>
      </c>
      <c r="Q73" s="4" t="s">
        <v>217</v>
      </c>
      <c r="R73" s="31" t="s">
        <v>23</v>
      </c>
      <c r="S73" s="33">
        <v>71</v>
      </c>
      <c r="T73" s="31" t="s">
        <v>218</v>
      </c>
      <c r="U73" s="33">
        <v>200</v>
      </c>
      <c r="V73" s="31" t="s">
        <v>95</v>
      </c>
      <c r="W73" s="7" t="s">
        <v>591</v>
      </c>
      <c r="X73" s="35">
        <v>46271.058637650465</v>
      </c>
      <c r="Y73" s="31" t="s">
        <v>244</v>
      </c>
      <c r="Z73" s="47"/>
      <c r="AA73" s="4"/>
      <c r="AB73" s="7"/>
    </row>
    <row r="74" spans="1:28" ht="42" customHeight="1">
      <c r="A74" s="6" t="s">
        <v>592</v>
      </c>
      <c r="B74" s="4" t="s">
        <v>593</v>
      </c>
      <c r="C74" s="4" t="s">
        <v>593</v>
      </c>
      <c r="D74" s="4" t="s">
        <v>594</v>
      </c>
      <c r="E74" s="4" t="s">
        <v>362</v>
      </c>
      <c r="F74" s="4" t="s">
        <v>39</v>
      </c>
      <c r="G74" s="4" t="s">
        <v>100</v>
      </c>
      <c r="H74" s="4" t="s">
        <v>595</v>
      </c>
      <c r="I74" s="4" t="s">
        <v>293</v>
      </c>
      <c r="J74" s="7" t="s">
        <v>596</v>
      </c>
      <c r="K74" s="7" t="s">
        <v>596</v>
      </c>
      <c r="L74" s="4" t="s">
        <v>215</v>
      </c>
      <c r="M74" s="4" t="s">
        <v>90</v>
      </c>
      <c r="N74" s="4" t="s">
        <v>91</v>
      </c>
      <c r="O74" s="4" t="s">
        <v>228</v>
      </c>
      <c r="P74" s="5">
        <v>46270.666666666664</v>
      </c>
      <c r="Q74" s="4" t="s">
        <v>217</v>
      </c>
      <c r="R74" s="31" t="s">
        <v>29</v>
      </c>
      <c r="S74" s="33">
        <v>35</v>
      </c>
      <c r="T74" s="31" t="s">
        <v>94</v>
      </c>
      <c r="U74" s="33"/>
      <c r="V74" s="31" t="s">
        <v>597</v>
      </c>
      <c r="W74" s="7"/>
      <c r="X74" s="35">
        <v>46271.058629317129</v>
      </c>
      <c r="Y74" s="31" t="s">
        <v>598</v>
      </c>
      <c r="Z74" s="47"/>
      <c r="AA74" s="4"/>
      <c r="AB74" s="7"/>
    </row>
    <row r="75" spans="1:28" ht="42" customHeight="1">
      <c r="A75" s="6" t="s">
        <v>599</v>
      </c>
      <c r="B75" s="4" t="s">
        <v>600</v>
      </c>
      <c r="C75" s="4" t="s">
        <v>99</v>
      </c>
      <c r="D75" s="4" t="s">
        <v>601</v>
      </c>
      <c r="E75" s="4" t="s">
        <v>105</v>
      </c>
      <c r="F75" s="4" t="s">
        <v>39</v>
      </c>
      <c r="G75" s="4" t="s">
        <v>100</v>
      </c>
      <c r="H75" s="4" t="s">
        <v>602</v>
      </c>
      <c r="I75" s="4" t="s">
        <v>293</v>
      </c>
      <c r="J75" s="7" t="s">
        <v>603</v>
      </c>
      <c r="K75" s="7" t="s">
        <v>604</v>
      </c>
      <c r="L75" s="4" t="s">
        <v>215</v>
      </c>
      <c r="M75" s="4" t="s">
        <v>90</v>
      </c>
      <c r="N75" s="4" t="s">
        <v>91</v>
      </c>
      <c r="O75" s="4" t="s">
        <v>228</v>
      </c>
      <c r="P75" s="5">
        <v>46270.666666666664</v>
      </c>
      <c r="Q75" s="4" t="s">
        <v>217</v>
      </c>
      <c r="R75" s="31" t="s">
        <v>23</v>
      </c>
      <c r="S75" s="33">
        <v>90</v>
      </c>
      <c r="T75" s="31" t="s">
        <v>94</v>
      </c>
      <c r="U75" s="33">
        <v>200</v>
      </c>
      <c r="V75" s="31" t="s">
        <v>95</v>
      </c>
      <c r="W75" s="7" t="s">
        <v>603</v>
      </c>
      <c r="X75" s="35">
        <v>46271.058637453702</v>
      </c>
      <c r="Y75" s="31" t="s">
        <v>605</v>
      </c>
      <c r="Z75" s="47"/>
      <c r="AA75" s="4"/>
      <c r="AB75" s="7"/>
    </row>
    <row r="76" spans="1:28" ht="42" customHeight="1">
      <c r="A76" s="6" t="s">
        <v>606</v>
      </c>
      <c r="B76" s="4" t="s">
        <v>607</v>
      </c>
      <c r="C76" s="4" t="s">
        <v>162</v>
      </c>
      <c r="D76" s="4" t="s">
        <v>476</v>
      </c>
      <c r="E76" s="4" t="s">
        <v>362</v>
      </c>
      <c r="F76" s="4" t="s">
        <v>40</v>
      </c>
      <c r="G76" s="4" t="s">
        <v>164</v>
      </c>
      <c r="H76" s="4" t="s">
        <v>377</v>
      </c>
      <c r="I76" s="4" t="s">
        <v>293</v>
      </c>
      <c r="J76" s="7" t="s">
        <v>608</v>
      </c>
      <c r="K76" s="7" t="s">
        <v>608</v>
      </c>
      <c r="L76" s="4" t="s">
        <v>215</v>
      </c>
      <c r="M76" s="4" t="s">
        <v>90</v>
      </c>
      <c r="N76" s="4" t="s">
        <v>235</v>
      </c>
      <c r="O76" s="4" t="s">
        <v>228</v>
      </c>
      <c r="P76" s="5">
        <v>46270.666666666664</v>
      </c>
      <c r="Q76" s="4" t="s">
        <v>217</v>
      </c>
      <c r="R76" s="31" t="s">
        <v>23</v>
      </c>
      <c r="S76" s="33">
        <v>93</v>
      </c>
      <c r="T76" s="31" t="s">
        <v>94</v>
      </c>
      <c r="U76" s="33">
        <v>200</v>
      </c>
      <c r="V76" s="31" t="s">
        <v>95</v>
      </c>
      <c r="W76" s="7" t="s">
        <v>608</v>
      </c>
      <c r="X76" s="35">
        <v>46271.058645046294</v>
      </c>
      <c r="Y76" s="31" t="s">
        <v>244</v>
      </c>
      <c r="Z76" s="47"/>
      <c r="AA76" s="4"/>
      <c r="AB76" s="7"/>
    </row>
    <row r="77" spans="1:28" ht="42" customHeight="1">
      <c r="A77" s="6" t="s">
        <v>609</v>
      </c>
      <c r="B77" s="4" t="s">
        <v>610</v>
      </c>
      <c r="C77" s="4" t="s">
        <v>611</v>
      </c>
      <c r="D77" s="4" t="s">
        <v>612</v>
      </c>
      <c r="E77" s="4" t="s">
        <v>362</v>
      </c>
      <c r="F77" s="4" t="s">
        <v>40</v>
      </c>
      <c r="G77" s="4" t="s">
        <v>613</v>
      </c>
      <c r="H77" s="4" t="s">
        <v>614</v>
      </c>
      <c r="I77" s="4" t="s">
        <v>615</v>
      </c>
      <c r="J77" s="7" t="s">
        <v>616</v>
      </c>
      <c r="K77" s="7" t="s">
        <v>617</v>
      </c>
      <c r="L77" s="4" t="s">
        <v>215</v>
      </c>
      <c r="M77" s="4" t="s">
        <v>90</v>
      </c>
      <c r="N77" s="4" t="s">
        <v>91</v>
      </c>
      <c r="O77" s="4" t="s">
        <v>618</v>
      </c>
      <c r="P77" s="5">
        <v>46270.666666666664</v>
      </c>
      <c r="Q77" s="4" t="s">
        <v>217</v>
      </c>
      <c r="R77" s="31" t="s">
        <v>6</v>
      </c>
      <c r="S77" s="33">
        <v>69</v>
      </c>
      <c r="T77" s="31" t="s">
        <v>218</v>
      </c>
      <c r="U77" s="33">
        <v>200</v>
      </c>
      <c r="V77" s="31" t="s">
        <v>95</v>
      </c>
      <c r="W77" s="7" t="s">
        <v>619</v>
      </c>
      <c r="X77" s="35">
        <v>46271.058669930557</v>
      </c>
      <c r="Y77" s="31" t="s">
        <v>325</v>
      </c>
      <c r="Z77" s="47"/>
      <c r="AA77" s="4"/>
      <c r="AB77" s="7"/>
    </row>
    <row r="78" spans="1:28" ht="84" customHeight="1">
      <c r="A78" s="6" t="s">
        <v>620</v>
      </c>
      <c r="B78" s="4" t="s">
        <v>621</v>
      </c>
      <c r="C78" s="4" t="s">
        <v>622</v>
      </c>
      <c r="D78" s="4" t="s">
        <v>476</v>
      </c>
      <c r="E78" s="4" t="s">
        <v>362</v>
      </c>
      <c r="F78" s="4" t="s">
        <v>41</v>
      </c>
      <c r="G78" s="4" t="s">
        <v>85</v>
      </c>
      <c r="H78" s="4" t="s">
        <v>377</v>
      </c>
      <c r="I78" s="4" t="s">
        <v>293</v>
      </c>
      <c r="J78" s="7" t="s">
        <v>623</v>
      </c>
      <c r="K78" s="7" t="s">
        <v>624</v>
      </c>
      <c r="L78" s="4" t="s">
        <v>89</v>
      </c>
      <c r="M78" s="4" t="s">
        <v>90</v>
      </c>
      <c r="N78" s="4" t="s">
        <v>91</v>
      </c>
      <c r="O78" s="4" t="s">
        <v>92</v>
      </c>
      <c r="P78" s="50">
        <v>46326</v>
      </c>
      <c r="Q78" s="4" t="s">
        <v>625</v>
      </c>
      <c r="R78" s="31" t="s">
        <v>23</v>
      </c>
      <c r="S78" s="33">
        <v>84</v>
      </c>
      <c r="T78" s="31" t="s">
        <v>94</v>
      </c>
      <c r="U78" s="33">
        <v>200</v>
      </c>
      <c r="V78" s="31" t="s">
        <v>95</v>
      </c>
      <c r="W78" s="7" t="s">
        <v>624</v>
      </c>
      <c r="X78" s="35">
        <v>46271.058666747682</v>
      </c>
      <c r="Y78" s="31" t="s">
        <v>472</v>
      </c>
      <c r="Z78" s="47">
        <v>5</v>
      </c>
      <c r="AA78" s="4" t="s">
        <v>10</v>
      </c>
      <c r="AB78" s="7" t="s">
        <v>97</v>
      </c>
    </row>
    <row r="79" spans="1:28" ht="42" customHeight="1">
      <c r="A79" s="6" t="s">
        <v>626</v>
      </c>
      <c r="B79" s="4" t="s">
        <v>627</v>
      </c>
      <c r="C79" s="4" t="s">
        <v>628</v>
      </c>
      <c r="D79" s="4" t="s">
        <v>629</v>
      </c>
      <c r="E79" s="4" t="s">
        <v>362</v>
      </c>
      <c r="F79" s="4" t="s">
        <v>41</v>
      </c>
      <c r="G79" s="4" t="s">
        <v>630</v>
      </c>
      <c r="H79" s="4" t="s">
        <v>631</v>
      </c>
      <c r="I79" s="4" t="s">
        <v>500</v>
      </c>
      <c r="J79" s="7" t="s">
        <v>632</v>
      </c>
      <c r="K79" s="7" t="s">
        <v>632</v>
      </c>
      <c r="L79" s="4" t="s">
        <v>215</v>
      </c>
      <c r="M79" s="4" t="s">
        <v>90</v>
      </c>
      <c r="N79" s="4" t="s">
        <v>235</v>
      </c>
      <c r="O79" s="4" t="s">
        <v>228</v>
      </c>
      <c r="P79" s="5">
        <v>46270.666666666664</v>
      </c>
      <c r="Q79" s="4" t="s">
        <v>217</v>
      </c>
      <c r="R79" s="31" t="s">
        <v>29</v>
      </c>
      <c r="S79" s="33">
        <v>35</v>
      </c>
      <c r="T79" s="31" t="s">
        <v>94</v>
      </c>
      <c r="U79" s="33"/>
      <c r="V79" s="31" t="s">
        <v>597</v>
      </c>
      <c r="W79" s="7"/>
      <c r="X79" s="35">
        <v>46271.058641446762</v>
      </c>
      <c r="Y79" s="31" t="s">
        <v>598</v>
      </c>
      <c r="Z79" s="47"/>
      <c r="AA79" s="4"/>
      <c r="AB79" s="7"/>
    </row>
    <row r="80" spans="1:28" ht="84" customHeight="1">
      <c r="A80" s="6" t="s">
        <v>633</v>
      </c>
      <c r="B80" s="4" t="s">
        <v>634</v>
      </c>
      <c r="C80" s="4" t="s">
        <v>635</v>
      </c>
      <c r="D80" s="4" t="s">
        <v>376</v>
      </c>
      <c r="E80" s="4" t="s">
        <v>362</v>
      </c>
      <c r="F80" s="4" t="s">
        <v>42</v>
      </c>
      <c r="G80" s="4" t="s">
        <v>636</v>
      </c>
      <c r="H80" s="4" t="s">
        <v>377</v>
      </c>
      <c r="I80" s="4" t="s">
        <v>293</v>
      </c>
      <c r="J80" s="7" t="s">
        <v>637</v>
      </c>
      <c r="K80" s="7" t="s">
        <v>638</v>
      </c>
      <c r="L80" s="4" t="s">
        <v>89</v>
      </c>
      <c r="M80" s="4" t="s">
        <v>90</v>
      </c>
      <c r="N80" s="4" t="s">
        <v>91</v>
      </c>
      <c r="O80" s="4" t="s">
        <v>92</v>
      </c>
      <c r="P80" s="50">
        <v>46326</v>
      </c>
      <c r="Q80" s="4" t="s">
        <v>625</v>
      </c>
      <c r="R80" s="31" t="s">
        <v>6</v>
      </c>
      <c r="S80" s="33">
        <v>32</v>
      </c>
      <c r="T80" s="31" t="s">
        <v>218</v>
      </c>
      <c r="U80" s="33"/>
      <c r="V80" s="31" t="s">
        <v>110</v>
      </c>
      <c r="W80" s="7"/>
      <c r="X80" s="35">
        <v>46271.058641747688</v>
      </c>
      <c r="Y80" s="31" t="s">
        <v>639</v>
      </c>
      <c r="Z80" s="47">
        <v>5</v>
      </c>
      <c r="AA80" s="4" t="s">
        <v>10</v>
      </c>
      <c r="AB80" s="7" t="s">
        <v>97</v>
      </c>
    </row>
    <row r="81" spans="1:28" ht="42" customHeight="1">
      <c r="A81" s="6" t="s">
        <v>640</v>
      </c>
      <c r="B81" s="4" t="s">
        <v>641</v>
      </c>
      <c r="C81" s="4" t="s">
        <v>635</v>
      </c>
      <c r="D81" s="4" t="s">
        <v>393</v>
      </c>
      <c r="E81" s="4" t="s">
        <v>353</v>
      </c>
      <c r="F81" s="4" t="s">
        <v>42</v>
      </c>
      <c r="G81" s="4" t="s">
        <v>636</v>
      </c>
      <c r="H81" s="4" t="s">
        <v>642</v>
      </c>
      <c r="I81" s="4" t="s">
        <v>364</v>
      </c>
      <c r="J81" s="7" t="s">
        <v>643</v>
      </c>
      <c r="K81" s="7" t="s">
        <v>643</v>
      </c>
      <c r="L81" s="4" t="s">
        <v>215</v>
      </c>
      <c r="M81" s="4" t="s">
        <v>90</v>
      </c>
      <c r="N81" s="4" t="s">
        <v>235</v>
      </c>
      <c r="O81" s="4" t="s">
        <v>228</v>
      </c>
      <c r="P81" s="5">
        <v>46270.666666666664</v>
      </c>
      <c r="Q81" s="4" t="s">
        <v>217</v>
      </c>
      <c r="R81" s="31" t="s">
        <v>23</v>
      </c>
      <c r="S81" s="33">
        <v>84</v>
      </c>
      <c r="T81" s="31" t="s">
        <v>94</v>
      </c>
      <c r="U81" s="33">
        <v>200</v>
      </c>
      <c r="V81" s="31" t="s">
        <v>110</v>
      </c>
      <c r="W81" s="7" t="s">
        <v>644</v>
      </c>
      <c r="X81" s="35">
        <v>46271.058663055555</v>
      </c>
      <c r="Y81" s="31" t="s">
        <v>645</v>
      </c>
      <c r="Z81" s="47"/>
      <c r="AA81" s="4"/>
      <c r="AB81" s="7"/>
    </row>
    <row r="82" spans="1:28" ht="42" customHeight="1">
      <c r="A82" s="6" t="s">
        <v>646</v>
      </c>
      <c r="B82" s="4" t="s">
        <v>647</v>
      </c>
      <c r="C82" s="4" t="s">
        <v>648</v>
      </c>
      <c r="D82" s="4" t="s">
        <v>352</v>
      </c>
      <c r="E82" s="4" t="s">
        <v>353</v>
      </c>
      <c r="F82" s="4" t="s">
        <v>43</v>
      </c>
      <c r="G82" s="4" t="s">
        <v>649</v>
      </c>
      <c r="H82" s="4" t="s">
        <v>106</v>
      </c>
      <c r="I82" s="4" t="s">
        <v>213</v>
      </c>
      <c r="J82" s="7" t="s">
        <v>650</v>
      </c>
      <c r="K82" s="7" t="s">
        <v>650</v>
      </c>
      <c r="L82" s="4" t="s">
        <v>215</v>
      </c>
      <c r="M82" s="4" t="s">
        <v>90</v>
      </c>
      <c r="N82" s="4" t="s">
        <v>91</v>
      </c>
      <c r="O82" s="4" t="s">
        <v>228</v>
      </c>
      <c r="P82" s="5">
        <v>46270.666666666664</v>
      </c>
      <c r="Q82" s="4" t="s">
        <v>217</v>
      </c>
      <c r="R82" s="31" t="s">
        <v>23</v>
      </c>
      <c r="S82" s="33">
        <v>90</v>
      </c>
      <c r="T82" s="31" t="s">
        <v>94</v>
      </c>
      <c r="U82" s="33">
        <v>200</v>
      </c>
      <c r="V82" s="31" t="s">
        <v>95</v>
      </c>
      <c r="W82" s="7" t="s">
        <v>650</v>
      </c>
      <c r="X82" s="35">
        <v>46271.058676898145</v>
      </c>
      <c r="Y82" s="31" t="s">
        <v>244</v>
      </c>
      <c r="Z82" s="47"/>
      <c r="AA82" s="4"/>
      <c r="AB82" s="7"/>
    </row>
    <row r="83" spans="1:28" ht="84" customHeight="1">
      <c r="A83" s="6" t="s">
        <v>651</v>
      </c>
      <c r="B83" s="4" t="s">
        <v>652</v>
      </c>
      <c r="C83" s="4" t="s">
        <v>653</v>
      </c>
      <c r="D83" s="4" t="s">
        <v>476</v>
      </c>
      <c r="E83" s="4" t="s">
        <v>468</v>
      </c>
      <c r="F83" s="4" t="s">
        <v>43</v>
      </c>
      <c r="G83" s="4" t="s">
        <v>649</v>
      </c>
      <c r="H83" s="4" t="s">
        <v>654</v>
      </c>
      <c r="I83" s="4" t="s">
        <v>293</v>
      </c>
      <c r="J83" s="7" t="s">
        <v>655</v>
      </c>
      <c r="K83" s="7" t="s">
        <v>656</v>
      </c>
      <c r="L83" s="4" t="s">
        <v>89</v>
      </c>
      <c r="M83" s="4" t="s">
        <v>90</v>
      </c>
      <c r="N83" s="4" t="s">
        <v>91</v>
      </c>
      <c r="O83" s="4" t="s">
        <v>657</v>
      </c>
      <c r="P83" s="50">
        <v>46326</v>
      </c>
      <c r="Q83" s="4" t="s">
        <v>658</v>
      </c>
      <c r="R83" s="31" t="s">
        <v>23</v>
      </c>
      <c r="S83" s="33">
        <v>73</v>
      </c>
      <c r="T83" s="31" t="s">
        <v>218</v>
      </c>
      <c r="U83" s="33">
        <v>200</v>
      </c>
      <c r="V83" s="31" t="s">
        <v>95</v>
      </c>
      <c r="W83" s="7" t="s">
        <v>659</v>
      </c>
      <c r="X83" s="35">
        <v>46271.058695127314</v>
      </c>
      <c r="Y83" s="31" t="s">
        <v>387</v>
      </c>
      <c r="Z83" s="47">
        <v>25</v>
      </c>
      <c r="AA83" s="4" t="s">
        <v>10</v>
      </c>
      <c r="AB83" s="7" t="s">
        <v>97</v>
      </c>
    </row>
    <row r="84" spans="1:28" ht="42" customHeight="1">
      <c r="A84" s="6" t="s">
        <v>660</v>
      </c>
      <c r="B84" s="4" t="s">
        <v>661</v>
      </c>
      <c r="C84" s="4" t="s">
        <v>662</v>
      </c>
      <c r="D84" s="4" t="s">
        <v>629</v>
      </c>
      <c r="E84" s="4" t="s">
        <v>362</v>
      </c>
      <c r="F84" s="4" t="s">
        <v>43</v>
      </c>
      <c r="G84" s="4" t="s">
        <v>649</v>
      </c>
      <c r="H84" s="4" t="s">
        <v>663</v>
      </c>
      <c r="I84" s="4" t="s">
        <v>293</v>
      </c>
      <c r="J84" s="7" t="s">
        <v>664</v>
      </c>
      <c r="K84" s="7" t="s">
        <v>664</v>
      </c>
      <c r="L84" s="4" t="s">
        <v>215</v>
      </c>
      <c r="M84" s="4" t="s">
        <v>90</v>
      </c>
      <c r="N84" s="4" t="s">
        <v>91</v>
      </c>
      <c r="O84" s="4" t="s">
        <v>228</v>
      </c>
      <c r="P84" s="5">
        <v>46270.666666666664</v>
      </c>
      <c r="Q84" s="4" t="s">
        <v>217</v>
      </c>
      <c r="R84" s="31" t="s">
        <v>23</v>
      </c>
      <c r="S84" s="33">
        <v>72</v>
      </c>
      <c r="T84" s="31" t="s">
        <v>218</v>
      </c>
      <c r="U84" s="33">
        <v>200</v>
      </c>
      <c r="V84" s="31" t="s">
        <v>110</v>
      </c>
      <c r="W84" s="7" t="s">
        <v>664</v>
      </c>
      <c r="X84" s="35">
        <v>46271.058680879629</v>
      </c>
      <c r="Y84" s="31" t="s">
        <v>665</v>
      </c>
      <c r="Z84" s="47"/>
      <c r="AA84" s="4"/>
      <c r="AB84" s="7"/>
    </row>
    <row r="85" spans="1:28" ht="42" customHeight="1">
      <c r="A85" s="6" t="s">
        <v>666</v>
      </c>
      <c r="B85" s="4" t="s">
        <v>667</v>
      </c>
      <c r="C85" s="4" t="s">
        <v>668</v>
      </c>
      <c r="D85" s="4" t="s">
        <v>393</v>
      </c>
      <c r="E85" s="4" t="s">
        <v>362</v>
      </c>
      <c r="F85" s="4" t="s">
        <v>43</v>
      </c>
      <c r="G85" s="4" t="s">
        <v>649</v>
      </c>
      <c r="H85" s="4" t="s">
        <v>669</v>
      </c>
      <c r="I85" s="4" t="s">
        <v>293</v>
      </c>
      <c r="J85" s="7" t="s">
        <v>670</v>
      </c>
      <c r="K85" s="7" t="s">
        <v>670</v>
      </c>
      <c r="L85" s="4" t="s">
        <v>215</v>
      </c>
      <c r="M85" s="4" t="s">
        <v>90</v>
      </c>
      <c r="N85" s="4" t="s">
        <v>91</v>
      </c>
      <c r="O85" s="4" t="s">
        <v>228</v>
      </c>
      <c r="P85" s="5">
        <v>46270.666666666664</v>
      </c>
      <c r="Q85" s="4" t="s">
        <v>217</v>
      </c>
      <c r="R85" s="31" t="s">
        <v>6</v>
      </c>
      <c r="S85" s="33">
        <v>40</v>
      </c>
      <c r="T85" s="31" t="s">
        <v>218</v>
      </c>
      <c r="U85" s="33"/>
      <c r="V85" s="31" t="s">
        <v>110</v>
      </c>
      <c r="W85" s="7"/>
      <c r="X85" s="35">
        <v>46271.058670138889</v>
      </c>
      <c r="Y85" s="31" t="s">
        <v>671</v>
      </c>
      <c r="Z85" s="47"/>
      <c r="AA85" s="4"/>
      <c r="AB85" s="7"/>
    </row>
    <row r="86" spans="1:28" ht="42" customHeight="1">
      <c r="A86" s="6" t="s">
        <v>672</v>
      </c>
      <c r="B86" s="4" t="s">
        <v>673</v>
      </c>
      <c r="C86" s="4" t="s">
        <v>550</v>
      </c>
      <c r="D86" s="4" t="s">
        <v>393</v>
      </c>
      <c r="E86" s="4" t="s">
        <v>362</v>
      </c>
      <c r="F86" s="4" t="s">
        <v>43</v>
      </c>
      <c r="G86" s="4" t="s">
        <v>649</v>
      </c>
      <c r="H86" s="4" t="s">
        <v>552</v>
      </c>
      <c r="I86" s="4" t="s">
        <v>500</v>
      </c>
      <c r="J86" s="7" t="s">
        <v>554</v>
      </c>
      <c r="K86" s="7" t="s">
        <v>554</v>
      </c>
      <c r="L86" s="4" t="s">
        <v>215</v>
      </c>
      <c r="M86" s="4" t="s">
        <v>90</v>
      </c>
      <c r="N86" s="4" t="s">
        <v>235</v>
      </c>
      <c r="O86" s="4" t="s">
        <v>228</v>
      </c>
      <c r="P86" s="5">
        <v>46270.666666666664</v>
      </c>
      <c r="Q86" s="4" t="s">
        <v>217</v>
      </c>
      <c r="R86" s="31" t="s">
        <v>23</v>
      </c>
      <c r="S86" s="33">
        <v>83</v>
      </c>
      <c r="T86" s="31" t="s">
        <v>94</v>
      </c>
      <c r="U86" s="33">
        <v>200</v>
      </c>
      <c r="V86" s="31" t="s">
        <v>95</v>
      </c>
      <c r="W86" s="7" t="s">
        <v>554</v>
      </c>
      <c r="X86" s="35">
        <v>46271.058699687499</v>
      </c>
      <c r="Y86" s="31" t="s">
        <v>244</v>
      </c>
      <c r="Z86" s="47"/>
      <c r="AA86" s="4"/>
      <c r="AB86" s="7"/>
    </row>
    <row r="87" spans="1:28" ht="42" customHeight="1">
      <c r="A87" s="6" t="s">
        <v>674</v>
      </c>
      <c r="B87" s="4" t="s">
        <v>675</v>
      </c>
      <c r="C87" s="4" t="s">
        <v>676</v>
      </c>
      <c r="D87" s="4" t="s">
        <v>361</v>
      </c>
      <c r="E87" s="4" t="s">
        <v>462</v>
      </c>
      <c r="F87" s="4" t="s">
        <v>43</v>
      </c>
      <c r="G87" s="4" t="s">
        <v>677</v>
      </c>
      <c r="H87" s="4" t="s">
        <v>268</v>
      </c>
      <c r="I87" s="4" t="s">
        <v>364</v>
      </c>
      <c r="J87" s="7" t="s">
        <v>678</v>
      </c>
      <c r="K87" s="7" t="s">
        <v>678</v>
      </c>
      <c r="L87" s="4" t="s">
        <v>215</v>
      </c>
      <c r="M87" s="4" t="s">
        <v>90</v>
      </c>
      <c r="N87" s="4" t="s">
        <v>91</v>
      </c>
      <c r="O87" s="4" t="s">
        <v>228</v>
      </c>
      <c r="P87" s="5">
        <v>46270.666666666664</v>
      </c>
      <c r="Q87" s="4" t="s">
        <v>217</v>
      </c>
      <c r="R87" s="31" t="s">
        <v>6</v>
      </c>
      <c r="S87" s="33">
        <v>68</v>
      </c>
      <c r="T87" s="31" t="s">
        <v>218</v>
      </c>
      <c r="U87" s="33">
        <v>200</v>
      </c>
      <c r="V87" s="31" t="s">
        <v>95</v>
      </c>
      <c r="W87" s="7" t="s">
        <v>678</v>
      </c>
      <c r="X87" s="35">
        <v>46271.058703090275</v>
      </c>
      <c r="Y87" s="31" t="s">
        <v>679</v>
      </c>
      <c r="Z87" s="47"/>
      <c r="AA87" s="4"/>
      <c r="AB87" s="7"/>
    </row>
    <row r="88" spans="1:28" ht="42" customHeight="1">
      <c r="A88" s="6" t="s">
        <v>680</v>
      </c>
      <c r="B88" s="4" t="s">
        <v>681</v>
      </c>
      <c r="C88" s="4" t="s">
        <v>682</v>
      </c>
      <c r="D88" s="4" t="s">
        <v>361</v>
      </c>
      <c r="E88" s="4" t="s">
        <v>462</v>
      </c>
      <c r="F88" s="4" t="s">
        <v>43</v>
      </c>
      <c r="G88" s="4" t="s">
        <v>649</v>
      </c>
      <c r="H88" s="4" t="s">
        <v>683</v>
      </c>
      <c r="I88" s="4" t="s">
        <v>364</v>
      </c>
      <c r="J88" s="7" t="s">
        <v>684</v>
      </c>
      <c r="K88" s="7" t="s">
        <v>684</v>
      </c>
      <c r="L88" s="4" t="s">
        <v>215</v>
      </c>
      <c r="M88" s="4" t="s">
        <v>90</v>
      </c>
      <c r="N88" s="4" t="s">
        <v>235</v>
      </c>
      <c r="O88" s="4" t="s">
        <v>228</v>
      </c>
      <c r="P88" s="5">
        <v>46270.666666666664</v>
      </c>
      <c r="Q88" s="4" t="s">
        <v>217</v>
      </c>
      <c r="R88" s="31" t="s">
        <v>23</v>
      </c>
      <c r="S88" s="33">
        <v>86</v>
      </c>
      <c r="T88" s="31" t="s">
        <v>94</v>
      </c>
      <c r="U88" s="33">
        <v>200</v>
      </c>
      <c r="V88" s="31" t="s">
        <v>95</v>
      </c>
      <c r="W88" s="7" t="s">
        <v>684</v>
      </c>
      <c r="X88" s="35">
        <v>46271.058709780089</v>
      </c>
      <c r="Y88" s="31" t="s">
        <v>244</v>
      </c>
      <c r="Z88" s="47"/>
      <c r="AA88" s="4"/>
      <c r="AB88" s="7"/>
    </row>
    <row r="89" spans="1:28" ht="42" customHeight="1">
      <c r="A89" s="6" t="s">
        <v>685</v>
      </c>
      <c r="B89" s="4" t="s">
        <v>686</v>
      </c>
      <c r="C89" s="4" t="s">
        <v>687</v>
      </c>
      <c r="D89" s="4" t="s">
        <v>376</v>
      </c>
      <c r="E89" s="4" t="s">
        <v>362</v>
      </c>
      <c r="F89" s="4" t="s">
        <v>44</v>
      </c>
      <c r="G89" s="4" t="s">
        <v>688</v>
      </c>
      <c r="H89" s="4" t="s">
        <v>377</v>
      </c>
      <c r="I89" s="4" t="s">
        <v>293</v>
      </c>
      <c r="J89" s="7" t="s">
        <v>689</v>
      </c>
      <c r="K89" s="7" t="s">
        <v>689</v>
      </c>
      <c r="L89" s="4" t="s">
        <v>215</v>
      </c>
      <c r="M89" s="4" t="s">
        <v>90</v>
      </c>
      <c r="N89" s="4" t="s">
        <v>91</v>
      </c>
      <c r="O89" s="4" t="s">
        <v>228</v>
      </c>
      <c r="P89" s="5">
        <v>46270.666666666664</v>
      </c>
      <c r="Q89" s="4" t="s">
        <v>217</v>
      </c>
      <c r="R89" s="31" t="s">
        <v>23</v>
      </c>
      <c r="S89" s="33">
        <v>91</v>
      </c>
      <c r="T89" s="31" t="s">
        <v>94</v>
      </c>
      <c r="U89" s="33">
        <v>200</v>
      </c>
      <c r="V89" s="31" t="s">
        <v>95</v>
      </c>
      <c r="W89" s="7" t="s">
        <v>689</v>
      </c>
      <c r="X89" s="35">
        <v>46271.058716736108</v>
      </c>
      <c r="Y89" s="31" t="s">
        <v>244</v>
      </c>
      <c r="Z89" s="47"/>
      <c r="AA89" s="4"/>
      <c r="AB89" s="7"/>
    </row>
    <row r="90" spans="1:28" ht="42" customHeight="1">
      <c r="A90" s="6" t="s">
        <v>690</v>
      </c>
      <c r="B90" s="4" t="s">
        <v>691</v>
      </c>
      <c r="C90" s="4" t="s">
        <v>687</v>
      </c>
      <c r="D90" s="4" t="s">
        <v>352</v>
      </c>
      <c r="E90" s="4" t="s">
        <v>353</v>
      </c>
      <c r="F90" s="4" t="s">
        <v>44</v>
      </c>
      <c r="G90" s="4" t="s">
        <v>688</v>
      </c>
      <c r="H90" s="4" t="s">
        <v>692</v>
      </c>
      <c r="I90" s="4" t="s">
        <v>240</v>
      </c>
      <c r="J90" s="7" t="s">
        <v>693</v>
      </c>
      <c r="K90" s="7" t="s">
        <v>693</v>
      </c>
      <c r="L90" s="4" t="s">
        <v>215</v>
      </c>
      <c r="M90" s="4" t="s">
        <v>90</v>
      </c>
      <c r="N90" s="4" t="s">
        <v>235</v>
      </c>
      <c r="O90" s="4" t="s">
        <v>228</v>
      </c>
      <c r="P90" s="5">
        <v>46270.666666666664</v>
      </c>
      <c r="Q90" s="4" t="s">
        <v>217</v>
      </c>
      <c r="R90" s="31" t="s">
        <v>23</v>
      </c>
      <c r="S90" s="33">
        <v>74</v>
      </c>
      <c r="T90" s="31" t="s">
        <v>218</v>
      </c>
      <c r="U90" s="33">
        <v>200</v>
      </c>
      <c r="V90" s="31" t="s">
        <v>95</v>
      </c>
      <c r="W90" s="7" t="s">
        <v>693</v>
      </c>
      <c r="X90" s="35">
        <v>46271.058736550927</v>
      </c>
      <c r="Y90" s="31" t="s">
        <v>287</v>
      </c>
      <c r="Z90" s="47"/>
      <c r="AA90" s="4"/>
      <c r="AB90" s="7"/>
    </row>
    <row r="91" spans="1:28" ht="42" customHeight="1">
      <c r="A91" s="6" t="s">
        <v>694</v>
      </c>
      <c r="B91" s="4" t="s">
        <v>695</v>
      </c>
      <c r="C91" s="4" t="s">
        <v>687</v>
      </c>
      <c r="D91" s="4" t="s">
        <v>454</v>
      </c>
      <c r="E91" s="4" t="s">
        <v>468</v>
      </c>
      <c r="F91" s="4" t="s">
        <v>44</v>
      </c>
      <c r="G91" s="4" t="s">
        <v>688</v>
      </c>
      <c r="H91" s="4" t="s">
        <v>696</v>
      </c>
      <c r="I91" s="4" t="s">
        <v>456</v>
      </c>
      <c r="J91" s="7" t="s">
        <v>697</v>
      </c>
      <c r="K91" s="7" t="s">
        <v>697</v>
      </c>
      <c r="L91" s="4" t="s">
        <v>215</v>
      </c>
      <c r="M91" s="4" t="s">
        <v>90</v>
      </c>
      <c r="N91" s="4" t="s">
        <v>235</v>
      </c>
      <c r="O91" s="4" t="s">
        <v>228</v>
      </c>
      <c r="P91" s="5">
        <v>46270.666666666664</v>
      </c>
      <c r="Q91" s="4" t="s">
        <v>217</v>
      </c>
      <c r="R91" s="31" t="s">
        <v>6</v>
      </c>
      <c r="S91" s="33">
        <v>74</v>
      </c>
      <c r="T91" s="31" t="s">
        <v>218</v>
      </c>
      <c r="U91" s="33">
        <v>200</v>
      </c>
      <c r="V91" s="31" t="s">
        <v>95</v>
      </c>
      <c r="W91" s="7" t="s">
        <v>698</v>
      </c>
      <c r="X91" s="35">
        <v>46271.058763657406</v>
      </c>
      <c r="Y91" s="31" t="s">
        <v>699</v>
      </c>
      <c r="Z91" s="47"/>
      <c r="AA91" s="4"/>
      <c r="AB91" s="7"/>
    </row>
    <row r="92" spans="1:28" ht="42" customHeight="1">
      <c r="A92" s="6" t="s">
        <v>700</v>
      </c>
      <c r="B92" s="4" t="s">
        <v>701</v>
      </c>
      <c r="C92" s="4" t="s">
        <v>702</v>
      </c>
      <c r="D92" s="4" t="s">
        <v>352</v>
      </c>
      <c r="E92" s="4" t="s">
        <v>353</v>
      </c>
      <c r="F92" s="4" t="s">
        <v>45</v>
      </c>
      <c r="G92" s="4" t="s">
        <v>703</v>
      </c>
      <c r="H92" s="4" t="s">
        <v>106</v>
      </c>
      <c r="I92" s="4" t="s">
        <v>500</v>
      </c>
      <c r="J92" s="7" t="s">
        <v>704</v>
      </c>
      <c r="K92" s="7" t="s">
        <v>704</v>
      </c>
      <c r="L92" s="4" t="s">
        <v>215</v>
      </c>
      <c r="M92" s="4" t="s">
        <v>90</v>
      </c>
      <c r="N92" s="4" t="s">
        <v>91</v>
      </c>
      <c r="O92" s="4" t="s">
        <v>228</v>
      </c>
      <c r="P92" s="5">
        <v>46270.666666666664</v>
      </c>
      <c r="Q92" s="4" t="s">
        <v>217</v>
      </c>
      <c r="R92" s="31" t="s">
        <v>23</v>
      </c>
      <c r="S92" s="33">
        <v>87</v>
      </c>
      <c r="T92" s="31" t="s">
        <v>94</v>
      </c>
      <c r="U92" s="33">
        <v>200</v>
      </c>
      <c r="V92" s="31" t="s">
        <v>110</v>
      </c>
      <c r="W92" s="7" t="s">
        <v>705</v>
      </c>
      <c r="X92" s="35">
        <v>46271.058734768521</v>
      </c>
      <c r="Y92" s="31" t="s">
        <v>706</v>
      </c>
      <c r="Z92" s="47"/>
      <c r="AA92" s="4"/>
      <c r="AB92" s="7"/>
    </row>
    <row r="93" spans="1:28" ht="42" customHeight="1">
      <c r="A93" s="6" t="s">
        <v>707</v>
      </c>
      <c r="B93" s="4" t="s">
        <v>708</v>
      </c>
      <c r="C93" s="4" t="s">
        <v>709</v>
      </c>
      <c r="D93" s="4" t="s">
        <v>361</v>
      </c>
      <c r="E93" s="4" t="s">
        <v>462</v>
      </c>
      <c r="F93" s="4" t="s">
        <v>45</v>
      </c>
      <c r="G93" s="4" t="s">
        <v>703</v>
      </c>
      <c r="H93" s="4" t="s">
        <v>268</v>
      </c>
      <c r="I93" s="4" t="s">
        <v>364</v>
      </c>
      <c r="J93" s="7" t="s">
        <v>710</v>
      </c>
      <c r="K93" s="7" t="s">
        <v>710</v>
      </c>
      <c r="L93" s="4" t="s">
        <v>215</v>
      </c>
      <c r="M93" s="4" t="s">
        <v>90</v>
      </c>
      <c r="N93" s="4" t="s">
        <v>91</v>
      </c>
      <c r="O93" s="4" t="s">
        <v>228</v>
      </c>
      <c r="P93" s="5">
        <v>46270.666666666664</v>
      </c>
      <c r="Q93" s="4" t="s">
        <v>217</v>
      </c>
      <c r="R93" s="31" t="s">
        <v>23</v>
      </c>
      <c r="S93" s="33">
        <v>90</v>
      </c>
      <c r="T93" s="31" t="s">
        <v>94</v>
      </c>
      <c r="U93" s="33">
        <v>200</v>
      </c>
      <c r="V93" s="31" t="s">
        <v>95</v>
      </c>
      <c r="W93" s="7" t="s">
        <v>710</v>
      </c>
      <c r="X93" s="35">
        <v>46271.058734155093</v>
      </c>
      <c r="Y93" s="31" t="s">
        <v>244</v>
      </c>
      <c r="Z93" s="47"/>
      <c r="AA93" s="4"/>
      <c r="AB93" s="7"/>
    </row>
    <row r="94" spans="1:28" ht="42" customHeight="1">
      <c r="A94" s="6" t="s">
        <v>711</v>
      </c>
      <c r="B94" s="4" t="s">
        <v>712</v>
      </c>
      <c r="C94" s="4" t="s">
        <v>713</v>
      </c>
      <c r="D94" s="4" t="s">
        <v>454</v>
      </c>
      <c r="E94" s="4" t="s">
        <v>468</v>
      </c>
      <c r="F94" s="4" t="s">
        <v>45</v>
      </c>
      <c r="G94" s="4" t="s">
        <v>703</v>
      </c>
      <c r="H94" s="4" t="s">
        <v>562</v>
      </c>
      <c r="I94" s="4" t="s">
        <v>364</v>
      </c>
      <c r="J94" s="7" t="s">
        <v>714</v>
      </c>
      <c r="K94" s="7" t="s">
        <v>714</v>
      </c>
      <c r="L94" s="4" t="s">
        <v>215</v>
      </c>
      <c r="M94" s="4" t="s">
        <v>90</v>
      </c>
      <c r="N94" s="4" t="s">
        <v>235</v>
      </c>
      <c r="O94" s="4" t="s">
        <v>228</v>
      </c>
      <c r="P94" s="5">
        <v>46270.666666666664</v>
      </c>
      <c r="Q94" s="4" t="s">
        <v>217</v>
      </c>
      <c r="R94" s="31" t="s">
        <v>6</v>
      </c>
      <c r="S94" s="33">
        <v>28</v>
      </c>
      <c r="T94" s="31" t="s">
        <v>218</v>
      </c>
      <c r="U94" s="33"/>
      <c r="V94" s="31" t="s">
        <v>110</v>
      </c>
      <c r="W94" s="7"/>
      <c r="X94" s="35">
        <v>46271.058721701389</v>
      </c>
      <c r="Y94" s="31" t="s">
        <v>715</v>
      </c>
      <c r="Z94" s="47"/>
      <c r="AA94" s="4"/>
      <c r="AB94" s="7"/>
    </row>
    <row r="95" spans="1:28" ht="84" customHeight="1">
      <c r="A95" s="6" t="s">
        <v>716</v>
      </c>
      <c r="B95" s="4" t="s">
        <v>717</v>
      </c>
      <c r="C95" s="4" t="s">
        <v>717</v>
      </c>
      <c r="D95" s="4" t="s">
        <v>352</v>
      </c>
      <c r="E95" s="4" t="s">
        <v>353</v>
      </c>
      <c r="F95" s="4" t="s">
        <v>46</v>
      </c>
      <c r="G95" s="4" t="s">
        <v>718</v>
      </c>
      <c r="H95" s="4" t="s">
        <v>106</v>
      </c>
      <c r="I95" s="4" t="s">
        <v>500</v>
      </c>
      <c r="J95" s="7" t="s">
        <v>719</v>
      </c>
      <c r="K95" s="7" t="s">
        <v>720</v>
      </c>
      <c r="L95" s="4" t="s">
        <v>89</v>
      </c>
      <c r="M95" s="4" t="s">
        <v>90</v>
      </c>
      <c r="N95" s="4" t="s">
        <v>91</v>
      </c>
      <c r="O95" s="4" t="s">
        <v>92</v>
      </c>
      <c r="P95" s="50">
        <v>46326</v>
      </c>
      <c r="Q95" s="4" t="s">
        <v>721</v>
      </c>
      <c r="R95" s="31" t="s">
        <v>6</v>
      </c>
      <c r="S95" s="33">
        <v>68</v>
      </c>
      <c r="T95" s="31" t="s">
        <v>218</v>
      </c>
      <c r="U95" s="33">
        <v>200</v>
      </c>
      <c r="V95" s="31" t="s">
        <v>110</v>
      </c>
      <c r="W95" s="7" t="s">
        <v>720</v>
      </c>
      <c r="X95" s="35">
        <v>46271.058773321762</v>
      </c>
      <c r="Y95" s="31" t="s">
        <v>722</v>
      </c>
      <c r="Z95" s="47">
        <v>2</v>
      </c>
      <c r="AA95" s="4" t="s">
        <v>10</v>
      </c>
      <c r="AB95" s="7" t="s">
        <v>97</v>
      </c>
    </row>
    <row r="96" spans="1:28" ht="42" customHeight="1">
      <c r="A96" s="6" t="s">
        <v>723</v>
      </c>
      <c r="B96" s="4" t="s">
        <v>724</v>
      </c>
      <c r="C96" s="4" t="s">
        <v>717</v>
      </c>
      <c r="D96" s="4" t="s">
        <v>725</v>
      </c>
      <c r="E96" s="4" t="s">
        <v>362</v>
      </c>
      <c r="F96" s="4" t="s">
        <v>46</v>
      </c>
      <c r="G96" s="4" t="s">
        <v>718</v>
      </c>
      <c r="H96" s="4" t="s">
        <v>726</v>
      </c>
      <c r="I96" s="4" t="s">
        <v>293</v>
      </c>
      <c r="J96" s="7" t="s">
        <v>720</v>
      </c>
      <c r="K96" s="7" t="s">
        <v>720</v>
      </c>
      <c r="L96" s="4" t="s">
        <v>215</v>
      </c>
      <c r="M96" s="4" t="s">
        <v>90</v>
      </c>
      <c r="N96" s="4" t="s">
        <v>91</v>
      </c>
      <c r="O96" s="4" t="s">
        <v>228</v>
      </c>
      <c r="P96" s="5">
        <v>46270.666666666664</v>
      </c>
      <c r="Q96" s="4" t="s">
        <v>217</v>
      </c>
      <c r="R96" s="31" t="s">
        <v>6</v>
      </c>
      <c r="S96" s="33">
        <v>76</v>
      </c>
      <c r="T96" s="31" t="s">
        <v>218</v>
      </c>
      <c r="U96" s="33">
        <v>200</v>
      </c>
      <c r="V96" s="31" t="s">
        <v>110</v>
      </c>
      <c r="W96" s="7" t="s">
        <v>720</v>
      </c>
      <c r="X96" s="35">
        <v>46271.058794085649</v>
      </c>
      <c r="Y96" s="31" t="s">
        <v>722</v>
      </c>
      <c r="Z96" s="47"/>
      <c r="AA96" s="4"/>
      <c r="AB96" s="7"/>
    </row>
    <row r="97" spans="1:28" ht="84" customHeight="1">
      <c r="A97" s="6" t="s">
        <v>727</v>
      </c>
      <c r="B97" s="4" t="s">
        <v>728</v>
      </c>
      <c r="C97" s="4" t="s">
        <v>729</v>
      </c>
      <c r="D97" s="4" t="s">
        <v>393</v>
      </c>
      <c r="E97" s="4" t="s">
        <v>362</v>
      </c>
      <c r="F97" s="4" t="s">
        <v>46</v>
      </c>
      <c r="G97" s="4" t="s">
        <v>730</v>
      </c>
      <c r="H97" s="4" t="s">
        <v>731</v>
      </c>
      <c r="I97" s="4" t="s">
        <v>293</v>
      </c>
      <c r="J97" s="7" t="s">
        <v>732</v>
      </c>
      <c r="K97" s="7" t="s">
        <v>733</v>
      </c>
      <c r="L97" s="4" t="s">
        <v>89</v>
      </c>
      <c r="M97" s="4" t="s">
        <v>90</v>
      </c>
      <c r="N97" s="4" t="s">
        <v>91</v>
      </c>
      <c r="O97" s="4" t="s">
        <v>92</v>
      </c>
      <c r="P97" s="50">
        <v>46326</v>
      </c>
      <c r="Q97" s="4" t="s">
        <v>734</v>
      </c>
      <c r="R97" s="31" t="s">
        <v>23</v>
      </c>
      <c r="S97" s="33">
        <v>99</v>
      </c>
      <c r="T97" s="31" t="s">
        <v>94</v>
      </c>
      <c r="U97" s="33">
        <v>200</v>
      </c>
      <c r="V97" s="31" t="s">
        <v>95</v>
      </c>
      <c r="W97" s="7" t="s">
        <v>732</v>
      </c>
      <c r="X97" s="35">
        <v>46285.625</v>
      </c>
      <c r="Y97" s="31" t="s">
        <v>735</v>
      </c>
      <c r="Z97" s="47">
        <v>3</v>
      </c>
      <c r="AA97" s="4" t="s">
        <v>10</v>
      </c>
      <c r="AB97" s="7" t="s">
        <v>97</v>
      </c>
    </row>
    <row r="98" spans="1:28" ht="42" customHeight="1">
      <c r="A98" s="6" t="s">
        <v>736</v>
      </c>
      <c r="B98" s="4" t="s">
        <v>737</v>
      </c>
      <c r="C98" s="4" t="s">
        <v>738</v>
      </c>
      <c r="D98" s="4" t="s">
        <v>352</v>
      </c>
      <c r="E98" s="4" t="s">
        <v>353</v>
      </c>
      <c r="F98" s="4" t="s">
        <v>46</v>
      </c>
      <c r="G98" s="4" t="s">
        <v>739</v>
      </c>
      <c r="H98" s="4" t="s">
        <v>106</v>
      </c>
      <c r="I98" s="4" t="s">
        <v>500</v>
      </c>
      <c r="J98" s="7" t="s">
        <v>740</v>
      </c>
      <c r="K98" s="7" t="s">
        <v>740</v>
      </c>
      <c r="L98" s="4" t="s">
        <v>215</v>
      </c>
      <c r="M98" s="4" t="s">
        <v>90</v>
      </c>
      <c r="N98" s="4" t="s">
        <v>235</v>
      </c>
      <c r="O98" s="4" t="s">
        <v>228</v>
      </c>
      <c r="P98" s="5">
        <v>46270.666666666664</v>
      </c>
      <c r="Q98" s="4" t="s">
        <v>217</v>
      </c>
      <c r="R98" s="31" t="s">
        <v>6</v>
      </c>
      <c r="S98" s="33">
        <v>24</v>
      </c>
      <c r="T98" s="31" t="s">
        <v>218</v>
      </c>
      <c r="U98" s="33"/>
      <c r="V98" s="31" t="s">
        <v>110</v>
      </c>
      <c r="W98" s="7"/>
      <c r="X98" s="35">
        <v>46271.058737210646</v>
      </c>
      <c r="Y98" s="31" t="s">
        <v>741</v>
      </c>
      <c r="Z98" s="47"/>
      <c r="AA98" s="4"/>
      <c r="AB98" s="7"/>
    </row>
    <row r="99" spans="1:28" ht="42" customHeight="1">
      <c r="A99" s="6" t="s">
        <v>742</v>
      </c>
      <c r="B99" s="4" t="s">
        <v>743</v>
      </c>
      <c r="C99" s="4" t="s">
        <v>744</v>
      </c>
      <c r="D99" s="4" t="s">
        <v>361</v>
      </c>
      <c r="E99" s="4" t="s">
        <v>745</v>
      </c>
      <c r="F99" s="4" t="s">
        <v>46</v>
      </c>
      <c r="G99" s="4" t="s">
        <v>746</v>
      </c>
      <c r="H99" s="4" t="s">
        <v>587</v>
      </c>
      <c r="I99" s="4" t="s">
        <v>364</v>
      </c>
      <c r="J99" s="7" t="s">
        <v>747</v>
      </c>
      <c r="K99" s="7" t="s">
        <v>747</v>
      </c>
      <c r="L99" s="4" t="s">
        <v>215</v>
      </c>
      <c r="M99" s="4" t="s">
        <v>90</v>
      </c>
      <c r="N99" s="4" t="s">
        <v>235</v>
      </c>
      <c r="O99" s="4" t="s">
        <v>228</v>
      </c>
      <c r="P99" s="5">
        <v>46270.666666666664</v>
      </c>
      <c r="Q99" s="4" t="s">
        <v>217</v>
      </c>
      <c r="R99" s="31" t="s">
        <v>6</v>
      </c>
      <c r="S99" s="33">
        <v>57</v>
      </c>
      <c r="T99" s="31" t="s">
        <v>218</v>
      </c>
      <c r="U99" s="33">
        <v>200</v>
      </c>
      <c r="V99" s="31" t="s">
        <v>110</v>
      </c>
      <c r="W99" s="7" t="s">
        <v>747</v>
      </c>
      <c r="X99" s="35">
        <v>46271.058823414351</v>
      </c>
      <c r="Y99" s="31" t="s">
        <v>220</v>
      </c>
      <c r="Z99" s="47"/>
      <c r="AA99" s="4"/>
      <c r="AB99" s="7"/>
    </row>
    <row r="100" spans="1:28" ht="42" customHeight="1">
      <c r="A100" s="6" t="s">
        <v>748</v>
      </c>
      <c r="B100" s="4" t="s">
        <v>749</v>
      </c>
      <c r="C100" s="4" t="s">
        <v>750</v>
      </c>
      <c r="D100" s="4" t="s">
        <v>352</v>
      </c>
      <c r="E100" s="4" t="s">
        <v>353</v>
      </c>
      <c r="F100" s="4" t="s">
        <v>47</v>
      </c>
      <c r="G100" s="4" t="s">
        <v>751</v>
      </c>
      <c r="H100" s="4" t="s">
        <v>106</v>
      </c>
      <c r="I100" s="4" t="s">
        <v>397</v>
      </c>
      <c r="J100" s="7" t="s">
        <v>752</v>
      </c>
      <c r="K100" s="7" t="s">
        <v>752</v>
      </c>
      <c r="L100" s="4" t="s">
        <v>215</v>
      </c>
      <c r="M100" s="4" t="s">
        <v>90</v>
      </c>
      <c r="N100" s="4" t="s">
        <v>235</v>
      </c>
      <c r="O100" s="4" t="s">
        <v>399</v>
      </c>
      <c r="P100" s="5">
        <v>46270.666666666664</v>
      </c>
      <c r="Q100" s="4" t="s">
        <v>217</v>
      </c>
      <c r="R100" s="31" t="s">
        <v>6</v>
      </c>
      <c r="S100" s="33">
        <v>70</v>
      </c>
      <c r="T100" s="31" t="s">
        <v>218</v>
      </c>
      <c r="U100" s="33">
        <v>200</v>
      </c>
      <c r="V100" s="31" t="s">
        <v>95</v>
      </c>
      <c r="W100" s="7" t="s">
        <v>752</v>
      </c>
      <c r="X100" s="35">
        <v>46271.058764988426</v>
      </c>
      <c r="Y100" s="31" t="s">
        <v>372</v>
      </c>
      <c r="Z100" s="47"/>
      <c r="AA100" s="4"/>
      <c r="AB100" s="7"/>
    </row>
    <row r="101" spans="1:28" ht="42" customHeight="1">
      <c r="A101" s="6" t="s">
        <v>753</v>
      </c>
      <c r="B101" s="4" t="s">
        <v>754</v>
      </c>
      <c r="C101" s="4" t="s">
        <v>750</v>
      </c>
      <c r="D101" s="4" t="s">
        <v>393</v>
      </c>
      <c r="E101" s="4" t="s">
        <v>362</v>
      </c>
      <c r="F101" s="4" t="s">
        <v>47</v>
      </c>
      <c r="G101" s="4" t="s">
        <v>751</v>
      </c>
      <c r="H101" s="4" t="s">
        <v>726</v>
      </c>
      <c r="I101" s="4" t="s">
        <v>410</v>
      </c>
      <c r="J101" s="7" t="s">
        <v>752</v>
      </c>
      <c r="K101" s="7" t="s">
        <v>752</v>
      </c>
      <c r="L101" s="4" t="s">
        <v>215</v>
      </c>
      <c r="M101" s="4" t="s">
        <v>90</v>
      </c>
      <c r="N101" s="4" t="s">
        <v>235</v>
      </c>
      <c r="O101" s="4" t="s">
        <v>399</v>
      </c>
      <c r="P101" s="5">
        <v>46270.666666666664</v>
      </c>
      <c r="Q101" s="4" t="s">
        <v>217</v>
      </c>
      <c r="R101" s="31" t="s">
        <v>23</v>
      </c>
      <c r="S101" s="33">
        <v>86</v>
      </c>
      <c r="T101" s="31" t="s">
        <v>94</v>
      </c>
      <c r="U101" s="33">
        <v>200</v>
      </c>
      <c r="V101" s="31" t="s">
        <v>95</v>
      </c>
      <c r="W101" s="7" t="s">
        <v>752</v>
      </c>
      <c r="X101" s="35">
        <v>46271.058788240742</v>
      </c>
      <c r="Y101" s="31" t="s">
        <v>244</v>
      </c>
      <c r="Z101" s="47"/>
      <c r="AA101" s="4"/>
      <c r="AB101" s="7"/>
    </row>
    <row r="102" spans="1:28" ht="42" customHeight="1">
      <c r="A102" s="6" t="s">
        <v>755</v>
      </c>
      <c r="B102" s="4" t="s">
        <v>756</v>
      </c>
      <c r="C102" s="4" t="s">
        <v>757</v>
      </c>
      <c r="D102" s="4" t="s">
        <v>758</v>
      </c>
      <c r="E102" s="4" t="s">
        <v>362</v>
      </c>
      <c r="F102" s="4" t="s">
        <v>47</v>
      </c>
      <c r="G102" s="4" t="s">
        <v>27</v>
      </c>
      <c r="H102" s="4" t="s">
        <v>759</v>
      </c>
      <c r="I102" s="4" t="s">
        <v>240</v>
      </c>
      <c r="J102" s="7" t="s">
        <v>760</v>
      </c>
      <c r="K102" s="7" t="s">
        <v>760</v>
      </c>
      <c r="L102" s="4" t="s">
        <v>215</v>
      </c>
      <c r="M102" s="4" t="s">
        <v>90</v>
      </c>
      <c r="N102" s="4" t="s">
        <v>250</v>
      </c>
      <c r="O102" s="4" t="s">
        <v>228</v>
      </c>
      <c r="P102" s="5">
        <v>46270.666666666664</v>
      </c>
      <c r="Q102" s="4" t="s">
        <v>217</v>
      </c>
      <c r="R102" s="31" t="s">
        <v>23</v>
      </c>
      <c r="S102" s="33">
        <v>81</v>
      </c>
      <c r="T102" s="31" t="s">
        <v>94</v>
      </c>
      <c r="U102" s="33">
        <v>200</v>
      </c>
      <c r="V102" s="31" t="s">
        <v>95</v>
      </c>
      <c r="W102" s="7" t="s">
        <v>760</v>
      </c>
      <c r="X102" s="35">
        <v>46271.058774502315</v>
      </c>
      <c r="Y102" s="31" t="s">
        <v>761</v>
      </c>
      <c r="Z102" s="47"/>
      <c r="AA102" s="4"/>
      <c r="AB102" s="7"/>
    </row>
    <row r="103" spans="1:28" ht="42" customHeight="1">
      <c r="A103" s="6" t="s">
        <v>762</v>
      </c>
      <c r="B103" s="4" t="s">
        <v>763</v>
      </c>
      <c r="C103" s="4" t="s">
        <v>764</v>
      </c>
      <c r="D103" s="4" t="s">
        <v>352</v>
      </c>
      <c r="E103" s="4" t="s">
        <v>353</v>
      </c>
      <c r="F103" s="4" t="s">
        <v>48</v>
      </c>
      <c r="G103" s="4" t="s">
        <v>765</v>
      </c>
      <c r="H103" s="4" t="s">
        <v>355</v>
      </c>
      <c r="I103" s="4" t="s">
        <v>293</v>
      </c>
      <c r="J103" s="7" t="s">
        <v>766</v>
      </c>
      <c r="K103" s="7" t="s">
        <v>766</v>
      </c>
      <c r="L103" s="4" t="s">
        <v>215</v>
      </c>
      <c r="M103" s="4" t="s">
        <v>90</v>
      </c>
      <c r="N103" s="4" t="s">
        <v>91</v>
      </c>
      <c r="O103" s="4" t="s">
        <v>228</v>
      </c>
      <c r="P103" s="5">
        <v>46270.666666666664</v>
      </c>
      <c r="Q103" s="4" t="s">
        <v>217</v>
      </c>
      <c r="R103" s="31" t="s">
        <v>6</v>
      </c>
      <c r="S103" s="33">
        <v>28</v>
      </c>
      <c r="T103" s="31" t="s">
        <v>218</v>
      </c>
      <c r="U103" s="33"/>
      <c r="V103" s="31" t="s">
        <v>110</v>
      </c>
      <c r="W103" s="7"/>
      <c r="X103" s="35">
        <v>46271.05876994213</v>
      </c>
      <c r="Y103" s="31" t="s">
        <v>767</v>
      </c>
      <c r="Z103" s="47"/>
      <c r="AA103" s="4"/>
      <c r="AB103" s="7"/>
    </row>
    <row r="104" spans="1:28" ht="42" customHeight="1">
      <c r="A104" s="6" t="s">
        <v>768</v>
      </c>
      <c r="B104" s="4" t="s">
        <v>769</v>
      </c>
      <c r="C104" s="4" t="s">
        <v>764</v>
      </c>
      <c r="D104" s="4" t="s">
        <v>393</v>
      </c>
      <c r="E104" s="4" t="s">
        <v>362</v>
      </c>
      <c r="F104" s="4" t="s">
        <v>48</v>
      </c>
      <c r="G104" s="4" t="s">
        <v>765</v>
      </c>
      <c r="H104" s="4" t="s">
        <v>518</v>
      </c>
      <c r="I104" s="4" t="s">
        <v>293</v>
      </c>
      <c r="J104" s="7" t="s">
        <v>766</v>
      </c>
      <c r="K104" s="7" t="s">
        <v>766</v>
      </c>
      <c r="L104" s="4" t="s">
        <v>215</v>
      </c>
      <c r="M104" s="4" t="s">
        <v>90</v>
      </c>
      <c r="N104" s="4" t="s">
        <v>235</v>
      </c>
      <c r="O104" s="4" t="s">
        <v>228</v>
      </c>
      <c r="P104" s="5">
        <v>46270.666666666664</v>
      </c>
      <c r="Q104" s="4" t="s">
        <v>217</v>
      </c>
      <c r="R104" s="31" t="s">
        <v>6</v>
      </c>
      <c r="S104" s="33">
        <v>36</v>
      </c>
      <c r="T104" s="31" t="s">
        <v>218</v>
      </c>
      <c r="U104" s="33"/>
      <c r="V104" s="31" t="s">
        <v>110</v>
      </c>
      <c r="W104" s="7"/>
      <c r="X104" s="35">
        <v>46271.058769976851</v>
      </c>
      <c r="Y104" s="31" t="s">
        <v>767</v>
      </c>
      <c r="Z104" s="47"/>
      <c r="AA104" s="4"/>
      <c r="AB104" s="7"/>
    </row>
    <row r="105" spans="1:28" ht="42" customHeight="1">
      <c r="A105" s="6" t="s">
        <v>770</v>
      </c>
      <c r="B105" s="4" t="s">
        <v>771</v>
      </c>
      <c r="C105" s="4" t="s">
        <v>772</v>
      </c>
      <c r="D105" s="4" t="s">
        <v>361</v>
      </c>
      <c r="E105" s="4" t="s">
        <v>462</v>
      </c>
      <c r="F105" s="4" t="s">
        <v>48</v>
      </c>
      <c r="G105" s="4" t="s">
        <v>765</v>
      </c>
      <c r="H105" s="4" t="s">
        <v>268</v>
      </c>
      <c r="I105" s="4" t="s">
        <v>364</v>
      </c>
      <c r="J105" s="7" t="s">
        <v>773</v>
      </c>
      <c r="K105" s="7" t="s">
        <v>773</v>
      </c>
      <c r="L105" s="4" t="s">
        <v>215</v>
      </c>
      <c r="M105" s="4" t="s">
        <v>90</v>
      </c>
      <c r="N105" s="4" t="s">
        <v>235</v>
      </c>
      <c r="O105" s="4" t="s">
        <v>228</v>
      </c>
      <c r="P105" s="5">
        <v>46270.666666666664</v>
      </c>
      <c r="Q105" s="4" t="s">
        <v>217</v>
      </c>
      <c r="R105" s="31" t="s">
        <v>6</v>
      </c>
      <c r="S105" s="33">
        <v>32</v>
      </c>
      <c r="T105" s="31" t="s">
        <v>218</v>
      </c>
      <c r="U105" s="33"/>
      <c r="V105" s="31" t="s">
        <v>110</v>
      </c>
      <c r="W105" s="7"/>
      <c r="X105" s="35">
        <v>46271.058773206016</v>
      </c>
      <c r="Y105" s="31" t="s">
        <v>774</v>
      </c>
      <c r="Z105" s="47"/>
      <c r="AA105" s="4"/>
      <c r="AB105" s="7"/>
    </row>
    <row r="106" spans="1:28" ht="42" customHeight="1">
      <c r="A106" s="6" t="s">
        <v>775</v>
      </c>
      <c r="B106" s="4" t="s">
        <v>776</v>
      </c>
      <c r="C106" s="4" t="s">
        <v>776</v>
      </c>
      <c r="D106" s="4" t="s">
        <v>777</v>
      </c>
      <c r="E106" s="4" t="s">
        <v>778</v>
      </c>
      <c r="F106" s="4" t="s">
        <v>28</v>
      </c>
      <c r="G106" s="4" t="s">
        <v>354</v>
      </c>
      <c r="H106" s="4" t="s">
        <v>779</v>
      </c>
      <c r="I106" s="4" t="s">
        <v>780</v>
      </c>
      <c r="J106" s="7"/>
      <c r="K106" s="7" t="s">
        <v>781</v>
      </c>
      <c r="L106" s="4" t="s">
        <v>782</v>
      </c>
      <c r="M106" s="4" t="s">
        <v>167</v>
      </c>
      <c r="N106" s="4" t="s">
        <v>250</v>
      </c>
      <c r="O106" s="4" t="s">
        <v>783</v>
      </c>
      <c r="P106" s="5">
        <v>46270.666666666664</v>
      </c>
      <c r="Q106" s="4" t="s">
        <v>784</v>
      </c>
      <c r="R106" s="31" t="s">
        <v>31</v>
      </c>
      <c r="S106" s="33">
        <v>0</v>
      </c>
      <c r="T106" s="31" t="s">
        <v>94</v>
      </c>
      <c r="U106" s="33"/>
      <c r="V106" s="31" t="s">
        <v>110</v>
      </c>
      <c r="W106" s="7"/>
      <c r="X106" s="35">
        <v>46271.058773564815</v>
      </c>
      <c r="Y106" s="31" t="s">
        <v>785</v>
      </c>
      <c r="Z106" s="47"/>
      <c r="AA106" s="4"/>
      <c r="AB106" s="7"/>
    </row>
    <row r="107" spans="1:28" ht="42" customHeight="1">
      <c r="A107" s="6" t="s">
        <v>786</v>
      </c>
      <c r="B107" s="4" t="s">
        <v>787</v>
      </c>
      <c r="C107" s="4" t="s">
        <v>787</v>
      </c>
      <c r="D107" s="4" t="s">
        <v>777</v>
      </c>
      <c r="E107" s="4" t="s">
        <v>778</v>
      </c>
      <c r="F107" s="4" t="s">
        <v>28</v>
      </c>
      <c r="G107" s="4" t="s">
        <v>354</v>
      </c>
      <c r="H107" s="4" t="s">
        <v>788</v>
      </c>
      <c r="I107" s="4" t="s">
        <v>780</v>
      </c>
      <c r="J107" s="7"/>
      <c r="K107" s="7" t="s">
        <v>789</v>
      </c>
      <c r="L107" s="4" t="s">
        <v>782</v>
      </c>
      <c r="M107" s="4" t="s">
        <v>167</v>
      </c>
      <c r="N107" s="4" t="s">
        <v>250</v>
      </c>
      <c r="O107" s="4" t="s">
        <v>783</v>
      </c>
      <c r="P107" s="5">
        <v>46270.666666666664</v>
      </c>
      <c r="Q107" s="4" t="s">
        <v>790</v>
      </c>
      <c r="R107" s="31" t="s">
        <v>31</v>
      </c>
      <c r="S107" s="33">
        <v>0</v>
      </c>
      <c r="T107" s="31" t="s">
        <v>94</v>
      </c>
      <c r="U107" s="33"/>
      <c r="V107" s="31" t="s">
        <v>110</v>
      </c>
      <c r="W107" s="7"/>
      <c r="X107" s="35">
        <v>46271.058773564815</v>
      </c>
      <c r="Y107" s="31" t="s">
        <v>785</v>
      </c>
      <c r="Z107" s="47"/>
      <c r="AA107" s="4"/>
      <c r="AB107" s="7"/>
    </row>
    <row r="108" spans="1:28" ht="42" customHeight="1">
      <c r="A108" s="6" t="s">
        <v>791</v>
      </c>
      <c r="B108" s="4" t="s">
        <v>792</v>
      </c>
      <c r="C108" s="4" t="s">
        <v>792</v>
      </c>
      <c r="D108" s="4" t="s">
        <v>777</v>
      </c>
      <c r="E108" s="4" t="s">
        <v>778</v>
      </c>
      <c r="F108" s="4" t="s">
        <v>28</v>
      </c>
      <c r="G108" s="4" t="s">
        <v>354</v>
      </c>
      <c r="H108" s="4" t="s">
        <v>793</v>
      </c>
      <c r="I108" s="4" t="s">
        <v>780</v>
      </c>
      <c r="J108" s="7"/>
      <c r="K108" s="7" t="s">
        <v>794</v>
      </c>
      <c r="L108" s="4" t="s">
        <v>782</v>
      </c>
      <c r="M108" s="4" t="s">
        <v>167</v>
      </c>
      <c r="N108" s="4" t="s">
        <v>250</v>
      </c>
      <c r="O108" s="4" t="s">
        <v>783</v>
      </c>
      <c r="P108" s="5">
        <v>46270.666666666664</v>
      </c>
      <c r="Q108" s="4" t="s">
        <v>795</v>
      </c>
      <c r="R108" s="31" t="s">
        <v>31</v>
      </c>
      <c r="S108" s="33">
        <v>0</v>
      </c>
      <c r="T108" s="31" t="s">
        <v>94</v>
      </c>
      <c r="U108" s="33"/>
      <c r="V108" s="31" t="s">
        <v>110</v>
      </c>
      <c r="W108" s="7"/>
      <c r="X108" s="35">
        <v>46271.058773564815</v>
      </c>
      <c r="Y108" s="31" t="s">
        <v>785</v>
      </c>
      <c r="Z108" s="47"/>
      <c r="AA108" s="4"/>
      <c r="AB108" s="7"/>
    </row>
    <row r="109" spans="1:28" ht="42" customHeight="1">
      <c r="A109" s="6" t="s">
        <v>796</v>
      </c>
      <c r="B109" s="4" t="s">
        <v>797</v>
      </c>
      <c r="C109" s="4" t="s">
        <v>797</v>
      </c>
      <c r="D109" s="4" t="s">
        <v>777</v>
      </c>
      <c r="E109" s="4" t="s">
        <v>778</v>
      </c>
      <c r="F109" s="4" t="s">
        <v>28</v>
      </c>
      <c r="G109" s="4" t="s">
        <v>354</v>
      </c>
      <c r="H109" s="4" t="s">
        <v>798</v>
      </c>
      <c r="I109" s="4" t="s">
        <v>780</v>
      </c>
      <c r="J109" s="7"/>
      <c r="K109" s="7" t="s">
        <v>799</v>
      </c>
      <c r="L109" s="4" t="s">
        <v>782</v>
      </c>
      <c r="M109" s="4" t="s">
        <v>167</v>
      </c>
      <c r="N109" s="4" t="s">
        <v>250</v>
      </c>
      <c r="O109" s="4" t="s">
        <v>783</v>
      </c>
      <c r="P109" s="5">
        <v>46270.666666666664</v>
      </c>
      <c r="Q109" s="4" t="s">
        <v>800</v>
      </c>
      <c r="R109" s="31" t="s">
        <v>31</v>
      </c>
      <c r="S109" s="33">
        <v>0</v>
      </c>
      <c r="T109" s="31" t="s">
        <v>94</v>
      </c>
      <c r="U109" s="33"/>
      <c r="V109" s="31" t="s">
        <v>110</v>
      </c>
      <c r="W109" s="7"/>
      <c r="X109" s="35">
        <v>46271.058773564815</v>
      </c>
      <c r="Y109" s="31" t="s">
        <v>785</v>
      </c>
      <c r="Z109" s="47"/>
      <c r="AA109" s="4"/>
      <c r="AB109" s="7"/>
    </row>
    <row r="110" spans="1:28" ht="42" customHeight="1">
      <c r="A110" s="6" t="s">
        <v>801</v>
      </c>
      <c r="B110" s="4" t="s">
        <v>802</v>
      </c>
      <c r="C110" s="4" t="s">
        <v>802</v>
      </c>
      <c r="D110" s="4" t="s">
        <v>777</v>
      </c>
      <c r="E110" s="4" t="s">
        <v>778</v>
      </c>
      <c r="F110" s="4" t="s">
        <v>28</v>
      </c>
      <c r="G110" s="4" t="s">
        <v>354</v>
      </c>
      <c r="H110" s="4" t="s">
        <v>803</v>
      </c>
      <c r="I110" s="4" t="s">
        <v>780</v>
      </c>
      <c r="J110" s="7"/>
      <c r="K110" s="7" t="s">
        <v>804</v>
      </c>
      <c r="L110" s="4" t="s">
        <v>782</v>
      </c>
      <c r="M110" s="4" t="s">
        <v>167</v>
      </c>
      <c r="N110" s="4" t="s">
        <v>250</v>
      </c>
      <c r="O110" s="4" t="s">
        <v>783</v>
      </c>
      <c r="P110" s="5">
        <v>46270.666666666664</v>
      </c>
      <c r="Q110" s="4" t="s">
        <v>805</v>
      </c>
      <c r="R110" s="31" t="s">
        <v>31</v>
      </c>
      <c r="S110" s="33">
        <v>0</v>
      </c>
      <c r="T110" s="31" t="s">
        <v>94</v>
      </c>
      <c r="U110" s="33"/>
      <c r="V110" s="31" t="s">
        <v>110</v>
      </c>
      <c r="W110" s="7"/>
      <c r="X110" s="35">
        <v>46271.058773564815</v>
      </c>
      <c r="Y110" s="31" t="s">
        <v>785</v>
      </c>
      <c r="Z110" s="47"/>
      <c r="AA110" s="4"/>
      <c r="AB110" s="7"/>
    </row>
    <row r="111" spans="1:28" ht="42" customHeight="1">
      <c r="A111" s="6" t="s">
        <v>806</v>
      </c>
      <c r="B111" s="4" t="s">
        <v>807</v>
      </c>
      <c r="C111" s="4" t="s">
        <v>807</v>
      </c>
      <c r="D111" s="4" t="s">
        <v>777</v>
      </c>
      <c r="E111" s="4" t="s">
        <v>778</v>
      </c>
      <c r="F111" s="4" t="s">
        <v>28</v>
      </c>
      <c r="G111" s="4"/>
      <c r="H111" s="4" t="s">
        <v>808</v>
      </c>
      <c r="I111" s="4" t="s">
        <v>780</v>
      </c>
      <c r="J111" s="7"/>
      <c r="K111" s="7" t="s">
        <v>809</v>
      </c>
      <c r="L111" s="4" t="s">
        <v>782</v>
      </c>
      <c r="M111" s="4" t="s">
        <v>167</v>
      </c>
      <c r="N111" s="4" t="s">
        <v>250</v>
      </c>
      <c r="O111" s="4" t="s">
        <v>783</v>
      </c>
      <c r="P111" s="5">
        <v>46270.666666666664</v>
      </c>
      <c r="Q111" s="4" t="s">
        <v>810</v>
      </c>
      <c r="R111" s="31" t="s">
        <v>31</v>
      </c>
      <c r="S111" s="33">
        <v>0</v>
      </c>
      <c r="T111" s="31" t="s">
        <v>94</v>
      </c>
      <c r="U111" s="33"/>
      <c r="V111" s="31" t="s">
        <v>110</v>
      </c>
      <c r="W111" s="7"/>
      <c r="X111" s="35">
        <v>46271.058773564815</v>
      </c>
      <c r="Y111" s="31" t="s">
        <v>785</v>
      </c>
      <c r="Z111" s="47"/>
      <c r="AA111" s="4"/>
      <c r="AB111" s="7"/>
    </row>
    <row r="112" spans="1:28" ht="42" customHeight="1">
      <c r="A112" s="6" t="s">
        <v>811</v>
      </c>
      <c r="B112" s="4" t="s">
        <v>812</v>
      </c>
      <c r="C112" s="4" t="s">
        <v>812</v>
      </c>
      <c r="D112" s="4" t="s">
        <v>777</v>
      </c>
      <c r="E112" s="4" t="s">
        <v>778</v>
      </c>
      <c r="F112" s="4" t="s">
        <v>28</v>
      </c>
      <c r="G112" s="4" t="s">
        <v>354</v>
      </c>
      <c r="H112" s="4" t="s">
        <v>788</v>
      </c>
      <c r="I112" s="4" t="s">
        <v>780</v>
      </c>
      <c r="J112" s="7"/>
      <c r="K112" s="7" t="s">
        <v>813</v>
      </c>
      <c r="L112" s="4" t="s">
        <v>782</v>
      </c>
      <c r="M112" s="4" t="s">
        <v>167</v>
      </c>
      <c r="N112" s="4" t="s">
        <v>250</v>
      </c>
      <c r="O112" s="4" t="s">
        <v>783</v>
      </c>
      <c r="P112" s="5">
        <v>46270.666666666664</v>
      </c>
      <c r="Q112" s="4" t="s">
        <v>814</v>
      </c>
      <c r="R112" s="31" t="s">
        <v>31</v>
      </c>
      <c r="S112" s="33">
        <v>0</v>
      </c>
      <c r="T112" s="31" t="s">
        <v>94</v>
      </c>
      <c r="U112" s="33"/>
      <c r="V112" s="31" t="s">
        <v>110</v>
      </c>
      <c r="W112" s="7"/>
      <c r="X112" s="35">
        <v>46271.058773564815</v>
      </c>
      <c r="Y112" s="31" t="s">
        <v>785</v>
      </c>
      <c r="Z112" s="47"/>
      <c r="AA112" s="4"/>
      <c r="AB112" s="7"/>
    </row>
    <row r="113" spans="1:28" ht="42" customHeight="1">
      <c r="A113" s="6" t="s">
        <v>815</v>
      </c>
      <c r="B113" s="4" t="s">
        <v>816</v>
      </c>
      <c r="C113" s="4" t="s">
        <v>816</v>
      </c>
      <c r="D113" s="4" t="s">
        <v>777</v>
      </c>
      <c r="E113" s="4" t="s">
        <v>778</v>
      </c>
      <c r="F113" s="4" t="s">
        <v>28</v>
      </c>
      <c r="G113" s="4" t="s">
        <v>354</v>
      </c>
      <c r="H113" s="4" t="s">
        <v>817</v>
      </c>
      <c r="I113" s="4" t="s">
        <v>780</v>
      </c>
      <c r="J113" s="7"/>
      <c r="K113" s="7" t="s">
        <v>818</v>
      </c>
      <c r="L113" s="4" t="s">
        <v>782</v>
      </c>
      <c r="M113" s="4" t="s">
        <v>167</v>
      </c>
      <c r="N113" s="4" t="s">
        <v>250</v>
      </c>
      <c r="O113" s="4" t="s">
        <v>783</v>
      </c>
      <c r="P113" s="5">
        <v>46270.666666666664</v>
      </c>
      <c r="Q113" s="4" t="s">
        <v>819</v>
      </c>
      <c r="R113" s="31" t="s">
        <v>31</v>
      </c>
      <c r="S113" s="33">
        <v>0</v>
      </c>
      <c r="T113" s="31" t="s">
        <v>94</v>
      </c>
      <c r="U113" s="33"/>
      <c r="V113" s="31" t="s">
        <v>110</v>
      </c>
      <c r="W113" s="7"/>
      <c r="X113" s="35">
        <v>46271.058773564815</v>
      </c>
      <c r="Y113" s="31" t="s">
        <v>785</v>
      </c>
      <c r="Z113" s="47"/>
      <c r="AA113" s="4"/>
      <c r="AB113" s="7"/>
    </row>
    <row r="114" spans="1:28" ht="42" customHeight="1">
      <c r="A114" s="6" t="s">
        <v>820</v>
      </c>
      <c r="B114" s="4" t="s">
        <v>821</v>
      </c>
      <c r="C114" s="4" t="s">
        <v>821</v>
      </c>
      <c r="D114" s="4" t="s">
        <v>777</v>
      </c>
      <c r="E114" s="4" t="s">
        <v>778</v>
      </c>
      <c r="F114" s="4" t="s">
        <v>28</v>
      </c>
      <c r="G114" s="4" t="s">
        <v>354</v>
      </c>
      <c r="H114" s="4" t="s">
        <v>788</v>
      </c>
      <c r="I114" s="4" t="s">
        <v>780</v>
      </c>
      <c r="J114" s="7"/>
      <c r="K114" s="7" t="s">
        <v>822</v>
      </c>
      <c r="L114" s="4" t="s">
        <v>782</v>
      </c>
      <c r="M114" s="4" t="s">
        <v>167</v>
      </c>
      <c r="N114" s="4" t="s">
        <v>250</v>
      </c>
      <c r="O114" s="4" t="s">
        <v>783</v>
      </c>
      <c r="P114" s="5">
        <v>46270.666666666664</v>
      </c>
      <c r="Q114" s="4" t="s">
        <v>823</v>
      </c>
      <c r="R114" s="31" t="s">
        <v>31</v>
      </c>
      <c r="S114" s="33">
        <v>0</v>
      </c>
      <c r="T114" s="31" t="s">
        <v>94</v>
      </c>
      <c r="U114" s="33"/>
      <c r="V114" s="31" t="s">
        <v>110</v>
      </c>
      <c r="W114" s="7"/>
      <c r="X114" s="35">
        <v>46271.058773564815</v>
      </c>
      <c r="Y114" s="31" t="s">
        <v>785</v>
      </c>
      <c r="Z114" s="47"/>
      <c r="AA114" s="4"/>
      <c r="AB114" s="7"/>
    </row>
    <row r="115" spans="1:28" ht="42" customHeight="1">
      <c r="A115" s="6" t="s">
        <v>824</v>
      </c>
      <c r="B115" s="4" t="s">
        <v>825</v>
      </c>
      <c r="C115" s="4" t="s">
        <v>825</v>
      </c>
      <c r="D115" s="4" t="s">
        <v>777</v>
      </c>
      <c r="E115" s="4" t="s">
        <v>778</v>
      </c>
      <c r="F115" s="4" t="s">
        <v>28</v>
      </c>
      <c r="G115" s="4" t="s">
        <v>354</v>
      </c>
      <c r="H115" s="4" t="s">
        <v>826</v>
      </c>
      <c r="I115" s="4" t="s">
        <v>780</v>
      </c>
      <c r="J115" s="7"/>
      <c r="K115" s="7" t="s">
        <v>827</v>
      </c>
      <c r="L115" s="4" t="s">
        <v>782</v>
      </c>
      <c r="M115" s="4" t="s">
        <v>167</v>
      </c>
      <c r="N115" s="4" t="s">
        <v>250</v>
      </c>
      <c r="O115" s="4" t="s">
        <v>783</v>
      </c>
      <c r="P115" s="5">
        <v>46270.666666666664</v>
      </c>
      <c r="Q115" s="4" t="s">
        <v>828</v>
      </c>
      <c r="R115" s="31" t="s">
        <v>31</v>
      </c>
      <c r="S115" s="33">
        <v>0</v>
      </c>
      <c r="T115" s="31" t="s">
        <v>94</v>
      </c>
      <c r="U115" s="33"/>
      <c r="V115" s="31" t="s">
        <v>110</v>
      </c>
      <c r="W115" s="7"/>
      <c r="X115" s="35">
        <v>46271.058773564815</v>
      </c>
      <c r="Y115" s="31" t="s">
        <v>785</v>
      </c>
      <c r="Z115" s="47"/>
      <c r="AA115" s="4"/>
      <c r="AB115" s="7"/>
    </row>
    <row r="116" spans="1:28" ht="42" customHeight="1">
      <c r="A116" s="6" t="s">
        <v>829</v>
      </c>
      <c r="B116" s="4" t="s">
        <v>830</v>
      </c>
      <c r="C116" s="4" t="s">
        <v>830</v>
      </c>
      <c r="D116" s="4" t="s">
        <v>777</v>
      </c>
      <c r="E116" s="4" t="s">
        <v>778</v>
      </c>
      <c r="F116" s="4" t="s">
        <v>28</v>
      </c>
      <c r="G116" s="4" t="s">
        <v>354</v>
      </c>
      <c r="H116" s="4" t="s">
        <v>831</v>
      </c>
      <c r="I116" s="4" t="s">
        <v>780</v>
      </c>
      <c r="J116" s="7"/>
      <c r="K116" s="7" t="s">
        <v>832</v>
      </c>
      <c r="L116" s="4" t="s">
        <v>782</v>
      </c>
      <c r="M116" s="4" t="s">
        <v>167</v>
      </c>
      <c r="N116" s="4" t="s">
        <v>250</v>
      </c>
      <c r="O116" s="4" t="s">
        <v>783</v>
      </c>
      <c r="P116" s="5">
        <v>46270.666666666664</v>
      </c>
      <c r="Q116" s="4" t="s">
        <v>833</v>
      </c>
      <c r="R116" s="31" t="s">
        <v>31</v>
      </c>
      <c r="S116" s="33">
        <v>0</v>
      </c>
      <c r="T116" s="31" t="s">
        <v>94</v>
      </c>
      <c r="U116" s="33"/>
      <c r="V116" s="31" t="s">
        <v>110</v>
      </c>
      <c r="W116" s="7"/>
      <c r="X116" s="35">
        <v>46271.058773564815</v>
      </c>
      <c r="Y116" s="31" t="s">
        <v>785</v>
      </c>
      <c r="Z116" s="47"/>
      <c r="AA116" s="4"/>
      <c r="AB116" s="7"/>
    </row>
    <row r="117" spans="1:28" ht="42" customHeight="1">
      <c r="A117" s="6" t="s">
        <v>834</v>
      </c>
      <c r="B117" s="4" t="s">
        <v>835</v>
      </c>
      <c r="C117" s="4" t="s">
        <v>835</v>
      </c>
      <c r="D117" s="4" t="s">
        <v>777</v>
      </c>
      <c r="E117" s="4" t="s">
        <v>778</v>
      </c>
      <c r="F117" s="4" t="s">
        <v>28</v>
      </c>
      <c r="G117" s="4" t="s">
        <v>354</v>
      </c>
      <c r="H117" s="4" t="s">
        <v>836</v>
      </c>
      <c r="I117" s="4" t="s">
        <v>780</v>
      </c>
      <c r="J117" s="7"/>
      <c r="K117" s="7" t="s">
        <v>837</v>
      </c>
      <c r="L117" s="4" t="s">
        <v>782</v>
      </c>
      <c r="M117" s="4" t="s">
        <v>167</v>
      </c>
      <c r="N117" s="4" t="s">
        <v>250</v>
      </c>
      <c r="O117" s="4" t="s">
        <v>783</v>
      </c>
      <c r="P117" s="5">
        <v>46270.666666666664</v>
      </c>
      <c r="Q117" s="4" t="s">
        <v>838</v>
      </c>
      <c r="R117" s="31" t="s">
        <v>31</v>
      </c>
      <c r="S117" s="33">
        <v>0</v>
      </c>
      <c r="T117" s="31" t="s">
        <v>94</v>
      </c>
      <c r="U117" s="33"/>
      <c r="V117" s="31" t="s">
        <v>110</v>
      </c>
      <c r="W117" s="7"/>
      <c r="X117" s="35">
        <v>46271.058773564815</v>
      </c>
      <c r="Y117" s="31" t="s">
        <v>785</v>
      </c>
      <c r="Z117" s="47"/>
      <c r="AA117" s="4"/>
      <c r="AB117" s="7"/>
    </row>
    <row r="118" spans="1:28" ht="42" customHeight="1">
      <c r="A118" s="6" t="s">
        <v>839</v>
      </c>
      <c r="B118" s="4" t="s">
        <v>840</v>
      </c>
      <c r="C118" s="4" t="s">
        <v>840</v>
      </c>
      <c r="D118" s="4" t="s">
        <v>777</v>
      </c>
      <c r="E118" s="4" t="s">
        <v>778</v>
      </c>
      <c r="F118" s="4" t="s">
        <v>28</v>
      </c>
      <c r="G118" s="4" t="s">
        <v>354</v>
      </c>
      <c r="H118" s="4" t="s">
        <v>841</v>
      </c>
      <c r="I118" s="4" t="s">
        <v>780</v>
      </c>
      <c r="J118" s="7"/>
      <c r="K118" s="7" t="s">
        <v>842</v>
      </c>
      <c r="L118" s="4" t="s">
        <v>782</v>
      </c>
      <c r="M118" s="4" t="s">
        <v>167</v>
      </c>
      <c r="N118" s="4" t="s">
        <v>250</v>
      </c>
      <c r="O118" s="4" t="s">
        <v>783</v>
      </c>
      <c r="P118" s="5">
        <v>46270.666666666664</v>
      </c>
      <c r="Q118" s="4" t="s">
        <v>843</v>
      </c>
      <c r="R118" s="31" t="s">
        <v>31</v>
      </c>
      <c r="S118" s="33">
        <v>0</v>
      </c>
      <c r="T118" s="31" t="s">
        <v>94</v>
      </c>
      <c r="U118" s="33"/>
      <c r="V118" s="31" t="s">
        <v>110</v>
      </c>
      <c r="W118" s="7"/>
      <c r="X118" s="35">
        <v>46271.058773564815</v>
      </c>
      <c r="Y118" s="31" t="s">
        <v>785</v>
      </c>
      <c r="Z118" s="47"/>
      <c r="AA118" s="4"/>
      <c r="AB118" s="7"/>
    </row>
    <row r="119" spans="1:28" ht="42" customHeight="1">
      <c r="A119" s="6" t="s">
        <v>844</v>
      </c>
      <c r="B119" s="4" t="s">
        <v>845</v>
      </c>
      <c r="C119" s="4" t="s">
        <v>845</v>
      </c>
      <c r="D119" s="4" t="s">
        <v>777</v>
      </c>
      <c r="E119" s="4" t="s">
        <v>778</v>
      </c>
      <c r="F119" s="4" t="s">
        <v>28</v>
      </c>
      <c r="G119" s="4" t="s">
        <v>354</v>
      </c>
      <c r="H119" s="4" t="s">
        <v>846</v>
      </c>
      <c r="I119" s="4" t="s">
        <v>780</v>
      </c>
      <c r="J119" s="7"/>
      <c r="K119" s="7" t="s">
        <v>847</v>
      </c>
      <c r="L119" s="4" t="s">
        <v>782</v>
      </c>
      <c r="M119" s="4" t="s">
        <v>167</v>
      </c>
      <c r="N119" s="4" t="s">
        <v>250</v>
      </c>
      <c r="O119" s="4" t="s">
        <v>783</v>
      </c>
      <c r="P119" s="5">
        <v>46270.666666666664</v>
      </c>
      <c r="Q119" s="4" t="s">
        <v>848</v>
      </c>
      <c r="R119" s="31" t="s">
        <v>31</v>
      </c>
      <c r="S119" s="33">
        <v>0</v>
      </c>
      <c r="T119" s="31" t="s">
        <v>94</v>
      </c>
      <c r="U119" s="33"/>
      <c r="V119" s="31" t="s">
        <v>110</v>
      </c>
      <c r="W119" s="7"/>
      <c r="X119" s="35">
        <v>46271.058773564815</v>
      </c>
      <c r="Y119" s="31" t="s">
        <v>785</v>
      </c>
      <c r="Z119" s="47"/>
      <c r="AA119" s="4"/>
      <c r="AB119" s="7"/>
    </row>
    <row r="120" spans="1:28" ht="42" customHeight="1">
      <c r="A120" s="6" t="s">
        <v>849</v>
      </c>
      <c r="B120" s="4" t="s">
        <v>850</v>
      </c>
      <c r="C120" s="4" t="s">
        <v>850</v>
      </c>
      <c r="D120" s="4" t="s">
        <v>777</v>
      </c>
      <c r="E120" s="4" t="s">
        <v>778</v>
      </c>
      <c r="F120" s="4" t="s">
        <v>30</v>
      </c>
      <c r="G120" s="4" t="s">
        <v>851</v>
      </c>
      <c r="H120" s="4" t="s">
        <v>181</v>
      </c>
      <c r="I120" s="4" t="s">
        <v>780</v>
      </c>
      <c r="J120" s="7"/>
      <c r="K120" s="7" t="s">
        <v>852</v>
      </c>
      <c r="L120" s="4" t="s">
        <v>782</v>
      </c>
      <c r="M120" s="4" t="s">
        <v>167</v>
      </c>
      <c r="N120" s="4" t="s">
        <v>250</v>
      </c>
      <c r="O120" s="4" t="s">
        <v>783</v>
      </c>
      <c r="P120" s="5">
        <v>46270.666666666664</v>
      </c>
      <c r="Q120" s="4" t="s">
        <v>853</v>
      </c>
      <c r="R120" s="31" t="s">
        <v>31</v>
      </c>
      <c r="S120" s="33">
        <v>0</v>
      </c>
      <c r="T120" s="31" t="s">
        <v>94</v>
      </c>
      <c r="U120" s="33"/>
      <c r="V120" s="31" t="s">
        <v>110</v>
      </c>
      <c r="W120" s="7"/>
      <c r="X120" s="35">
        <v>46271.058773564815</v>
      </c>
      <c r="Y120" s="31" t="s">
        <v>785</v>
      </c>
      <c r="Z120" s="47"/>
      <c r="AA120" s="4"/>
      <c r="AB120" s="7"/>
    </row>
    <row r="121" spans="1:28" ht="42" customHeight="1">
      <c r="A121" s="6" t="s">
        <v>854</v>
      </c>
      <c r="B121" s="4" t="s">
        <v>855</v>
      </c>
      <c r="C121" s="4" t="s">
        <v>855</v>
      </c>
      <c r="D121" s="4" t="s">
        <v>777</v>
      </c>
      <c r="E121" s="4" t="s">
        <v>778</v>
      </c>
      <c r="F121" s="4" t="s">
        <v>30</v>
      </c>
      <c r="G121" s="4"/>
      <c r="H121" s="4" t="s">
        <v>788</v>
      </c>
      <c r="I121" s="4" t="s">
        <v>780</v>
      </c>
      <c r="J121" s="7"/>
      <c r="K121" s="7" t="s">
        <v>856</v>
      </c>
      <c r="L121" s="4" t="s">
        <v>782</v>
      </c>
      <c r="M121" s="4" t="s">
        <v>167</v>
      </c>
      <c r="N121" s="4" t="s">
        <v>250</v>
      </c>
      <c r="O121" s="4" t="s">
        <v>783</v>
      </c>
      <c r="P121" s="5">
        <v>46270.666666666664</v>
      </c>
      <c r="Q121" s="4" t="s">
        <v>857</v>
      </c>
      <c r="R121" s="31" t="s">
        <v>31</v>
      </c>
      <c r="S121" s="33">
        <v>0</v>
      </c>
      <c r="T121" s="31" t="s">
        <v>94</v>
      </c>
      <c r="U121" s="33"/>
      <c r="V121" s="31" t="s">
        <v>110</v>
      </c>
      <c r="W121" s="7"/>
      <c r="X121" s="35">
        <v>46271.058773564815</v>
      </c>
      <c r="Y121" s="31" t="s">
        <v>785</v>
      </c>
      <c r="Z121" s="47"/>
      <c r="AA121" s="4"/>
      <c r="AB121" s="7"/>
    </row>
    <row r="122" spans="1:28" ht="42" customHeight="1">
      <c r="A122" s="6" t="s">
        <v>858</v>
      </c>
      <c r="B122" s="4" t="s">
        <v>859</v>
      </c>
      <c r="C122" s="4" t="s">
        <v>859</v>
      </c>
      <c r="D122" s="4" t="s">
        <v>777</v>
      </c>
      <c r="E122" s="4" t="s">
        <v>778</v>
      </c>
      <c r="F122" s="4" t="s">
        <v>30</v>
      </c>
      <c r="G122" s="4" t="s">
        <v>851</v>
      </c>
      <c r="H122" s="4" t="s">
        <v>788</v>
      </c>
      <c r="I122" s="4" t="s">
        <v>780</v>
      </c>
      <c r="J122" s="7"/>
      <c r="K122" s="7" t="s">
        <v>860</v>
      </c>
      <c r="L122" s="4" t="s">
        <v>782</v>
      </c>
      <c r="M122" s="4" t="s">
        <v>167</v>
      </c>
      <c r="N122" s="4" t="s">
        <v>250</v>
      </c>
      <c r="O122" s="4" t="s">
        <v>783</v>
      </c>
      <c r="P122" s="5">
        <v>46270.666666666664</v>
      </c>
      <c r="Q122" s="4" t="s">
        <v>861</v>
      </c>
      <c r="R122" s="31" t="s">
        <v>31</v>
      </c>
      <c r="S122" s="33">
        <v>0</v>
      </c>
      <c r="T122" s="31" t="s">
        <v>94</v>
      </c>
      <c r="U122" s="33"/>
      <c r="V122" s="31" t="s">
        <v>110</v>
      </c>
      <c r="W122" s="7"/>
      <c r="X122" s="35">
        <v>46271.058773564815</v>
      </c>
      <c r="Y122" s="31" t="s">
        <v>785</v>
      </c>
      <c r="Z122" s="47"/>
      <c r="AA122" s="4"/>
      <c r="AB122" s="7"/>
    </row>
    <row r="123" spans="1:28" ht="42" customHeight="1">
      <c r="A123" s="6" t="s">
        <v>862</v>
      </c>
      <c r="B123" s="4" t="s">
        <v>863</v>
      </c>
      <c r="C123" s="4" t="s">
        <v>863</v>
      </c>
      <c r="D123" s="4" t="s">
        <v>777</v>
      </c>
      <c r="E123" s="4" t="s">
        <v>778</v>
      </c>
      <c r="F123" s="4" t="s">
        <v>30</v>
      </c>
      <c r="G123" s="4" t="s">
        <v>370</v>
      </c>
      <c r="H123" s="4" t="s">
        <v>181</v>
      </c>
      <c r="I123" s="4" t="s">
        <v>780</v>
      </c>
      <c r="J123" s="7"/>
      <c r="K123" s="7" t="s">
        <v>864</v>
      </c>
      <c r="L123" s="4" t="s">
        <v>782</v>
      </c>
      <c r="M123" s="4" t="s">
        <v>167</v>
      </c>
      <c r="N123" s="4" t="s">
        <v>250</v>
      </c>
      <c r="O123" s="4" t="s">
        <v>783</v>
      </c>
      <c r="P123" s="5">
        <v>46270.666666666664</v>
      </c>
      <c r="Q123" s="4" t="s">
        <v>865</v>
      </c>
      <c r="R123" s="31" t="s">
        <v>31</v>
      </c>
      <c r="S123" s="33">
        <v>0</v>
      </c>
      <c r="T123" s="31" t="s">
        <v>94</v>
      </c>
      <c r="U123" s="33"/>
      <c r="V123" s="31" t="s">
        <v>110</v>
      </c>
      <c r="W123" s="7"/>
      <c r="X123" s="35">
        <v>46271.058773564815</v>
      </c>
      <c r="Y123" s="31" t="s">
        <v>785</v>
      </c>
      <c r="Z123" s="47"/>
      <c r="AA123" s="4"/>
      <c r="AB123" s="7"/>
    </row>
    <row r="124" spans="1:28" ht="42" customHeight="1">
      <c r="A124" s="6" t="s">
        <v>866</v>
      </c>
      <c r="B124" s="4" t="s">
        <v>867</v>
      </c>
      <c r="C124" s="4" t="s">
        <v>867</v>
      </c>
      <c r="D124" s="4" t="s">
        <v>777</v>
      </c>
      <c r="E124" s="4" t="s">
        <v>778</v>
      </c>
      <c r="F124" s="4" t="s">
        <v>30</v>
      </c>
      <c r="G124" s="4" t="s">
        <v>370</v>
      </c>
      <c r="H124" s="4" t="s">
        <v>868</v>
      </c>
      <c r="I124" s="4" t="s">
        <v>780</v>
      </c>
      <c r="J124" s="7"/>
      <c r="K124" s="7" t="s">
        <v>869</v>
      </c>
      <c r="L124" s="4" t="s">
        <v>782</v>
      </c>
      <c r="M124" s="4" t="s">
        <v>167</v>
      </c>
      <c r="N124" s="4" t="s">
        <v>250</v>
      </c>
      <c r="O124" s="4" t="s">
        <v>783</v>
      </c>
      <c r="P124" s="5">
        <v>46270.666666666664</v>
      </c>
      <c r="Q124" s="4" t="s">
        <v>870</v>
      </c>
      <c r="R124" s="31" t="s">
        <v>31</v>
      </c>
      <c r="S124" s="33">
        <v>0</v>
      </c>
      <c r="T124" s="31" t="s">
        <v>94</v>
      </c>
      <c r="U124" s="33"/>
      <c r="V124" s="31" t="s">
        <v>110</v>
      </c>
      <c r="W124" s="7"/>
      <c r="X124" s="35">
        <v>46271.058773564815</v>
      </c>
      <c r="Y124" s="31" t="s">
        <v>785</v>
      </c>
      <c r="Z124" s="47"/>
      <c r="AA124" s="4"/>
      <c r="AB124" s="7"/>
    </row>
    <row r="125" spans="1:28" ht="42" customHeight="1">
      <c r="A125" s="6" t="s">
        <v>871</v>
      </c>
      <c r="B125" s="4" t="s">
        <v>872</v>
      </c>
      <c r="C125" s="4" t="s">
        <v>872</v>
      </c>
      <c r="D125" s="4" t="s">
        <v>777</v>
      </c>
      <c r="E125" s="4" t="s">
        <v>778</v>
      </c>
      <c r="F125" s="4" t="s">
        <v>30</v>
      </c>
      <c r="G125" s="4" t="s">
        <v>370</v>
      </c>
      <c r="H125" s="4" t="s">
        <v>181</v>
      </c>
      <c r="I125" s="4" t="s">
        <v>780</v>
      </c>
      <c r="J125" s="7"/>
      <c r="K125" s="7" t="s">
        <v>873</v>
      </c>
      <c r="L125" s="4" t="s">
        <v>782</v>
      </c>
      <c r="M125" s="4" t="s">
        <v>167</v>
      </c>
      <c r="N125" s="4" t="s">
        <v>250</v>
      </c>
      <c r="O125" s="4" t="s">
        <v>783</v>
      </c>
      <c r="P125" s="5">
        <v>46270.666666666664</v>
      </c>
      <c r="Q125" s="4" t="s">
        <v>874</v>
      </c>
      <c r="R125" s="31" t="s">
        <v>31</v>
      </c>
      <c r="S125" s="33">
        <v>0</v>
      </c>
      <c r="T125" s="31" t="s">
        <v>94</v>
      </c>
      <c r="U125" s="33"/>
      <c r="V125" s="31" t="s">
        <v>110</v>
      </c>
      <c r="W125" s="7"/>
      <c r="X125" s="35">
        <v>46271.058773564815</v>
      </c>
      <c r="Y125" s="31" t="s">
        <v>785</v>
      </c>
      <c r="Z125" s="47"/>
      <c r="AA125" s="4"/>
      <c r="AB125" s="7"/>
    </row>
    <row r="126" spans="1:28" ht="42" customHeight="1">
      <c r="A126" s="6" t="s">
        <v>875</v>
      </c>
      <c r="B126" s="4" t="s">
        <v>876</v>
      </c>
      <c r="C126" s="4" t="s">
        <v>876</v>
      </c>
      <c r="D126" s="4" t="s">
        <v>777</v>
      </c>
      <c r="E126" s="4" t="s">
        <v>778</v>
      </c>
      <c r="F126" s="4" t="s">
        <v>30</v>
      </c>
      <c r="G126" s="4" t="s">
        <v>370</v>
      </c>
      <c r="H126" s="4" t="s">
        <v>877</v>
      </c>
      <c r="I126" s="4" t="s">
        <v>780</v>
      </c>
      <c r="J126" s="7"/>
      <c r="K126" s="7" t="s">
        <v>878</v>
      </c>
      <c r="L126" s="4" t="s">
        <v>782</v>
      </c>
      <c r="M126" s="4" t="s">
        <v>167</v>
      </c>
      <c r="N126" s="4" t="s">
        <v>250</v>
      </c>
      <c r="O126" s="4" t="s">
        <v>783</v>
      </c>
      <c r="P126" s="5">
        <v>46270.666666666664</v>
      </c>
      <c r="Q126" s="4" t="s">
        <v>879</v>
      </c>
      <c r="R126" s="31" t="s">
        <v>31</v>
      </c>
      <c r="S126" s="33">
        <v>0</v>
      </c>
      <c r="T126" s="31" t="s">
        <v>94</v>
      </c>
      <c r="U126" s="33"/>
      <c r="V126" s="31" t="s">
        <v>110</v>
      </c>
      <c r="W126" s="7"/>
      <c r="X126" s="35">
        <v>46271.058773564815</v>
      </c>
      <c r="Y126" s="31" t="s">
        <v>785</v>
      </c>
      <c r="Z126" s="47"/>
      <c r="AA126" s="4"/>
      <c r="AB126" s="7"/>
    </row>
    <row r="127" spans="1:28" ht="42" customHeight="1">
      <c r="A127" s="6" t="s">
        <v>880</v>
      </c>
      <c r="B127" s="4" t="s">
        <v>881</v>
      </c>
      <c r="C127" s="4" t="s">
        <v>881</v>
      </c>
      <c r="D127" s="4" t="s">
        <v>777</v>
      </c>
      <c r="E127" s="4" t="s">
        <v>778</v>
      </c>
      <c r="F127" s="4" t="s">
        <v>30</v>
      </c>
      <c r="G127" s="4" t="s">
        <v>370</v>
      </c>
      <c r="H127" s="4" t="s">
        <v>882</v>
      </c>
      <c r="I127" s="4" t="s">
        <v>780</v>
      </c>
      <c r="J127" s="7"/>
      <c r="K127" s="7" t="s">
        <v>883</v>
      </c>
      <c r="L127" s="4" t="s">
        <v>782</v>
      </c>
      <c r="M127" s="4" t="s">
        <v>167</v>
      </c>
      <c r="N127" s="4" t="s">
        <v>250</v>
      </c>
      <c r="O127" s="4" t="s">
        <v>783</v>
      </c>
      <c r="P127" s="5">
        <v>46270.666666666664</v>
      </c>
      <c r="Q127" s="4" t="s">
        <v>884</v>
      </c>
      <c r="R127" s="31" t="s">
        <v>31</v>
      </c>
      <c r="S127" s="33">
        <v>0</v>
      </c>
      <c r="T127" s="31" t="s">
        <v>94</v>
      </c>
      <c r="U127" s="33"/>
      <c r="V127" s="31" t="s">
        <v>110</v>
      </c>
      <c r="W127" s="7"/>
      <c r="X127" s="35">
        <v>46271.058773564815</v>
      </c>
      <c r="Y127" s="31" t="s">
        <v>785</v>
      </c>
      <c r="Z127" s="47"/>
      <c r="AA127" s="4"/>
      <c r="AB127" s="7"/>
    </row>
    <row r="128" spans="1:28" ht="42" customHeight="1">
      <c r="A128" s="6" t="s">
        <v>885</v>
      </c>
      <c r="B128" s="4" t="s">
        <v>886</v>
      </c>
      <c r="C128" s="4" t="s">
        <v>886</v>
      </c>
      <c r="D128" s="4" t="s">
        <v>777</v>
      </c>
      <c r="E128" s="4" t="s">
        <v>778</v>
      </c>
      <c r="F128" s="4" t="s">
        <v>30</v>
      </c>
      <c r="G128" s="4" t="s">
        <v>370</v>
      </c>
      <c r="H128" s="4" t="s">
        <v>887</v>
      </c>
      <c r="I128" s="4" t="s">
        <v>780</v>
      </c>
      <c r="J128" s="7"/>
      <c r="K128" s="7" t="s">
        <v>888</v>
      </c>
      <c r="L128" s="4" t="s">
        <v>782</v>
      </c>
      <c r="M128" s="4" t="s">
        <v>167</v>
      </c>
      <c r="N128" s="4" t="s">
        <v>250</v>
      </c>
      <c r="O128" s="4" t="s">
        <v>783</v>
      </c>
      <c r="P128" s="5">
        <v>46270.666666666664</v>
      </c>
      <c r="Q128" s="4" t="s">
        <v>889</v>
      </c>
      <c r="R128" s="31" t="s">
        <v>31</v>
      </c>
      <c r="S128" s="33">
        <v>0</v>
      </c>
      <c r="T128" s="31" t="s">
        <v>94</v>
      </c>
      <c r="U128" s="33"/>
      <c r="V128" s="31" t="s">
        <v>110</v>
      </c>
      <c r="W128" s="7"/>
      <c r="X128" s="35">
        <v>46271.058773564815</v>
      </c>
      <c r="Y128" s="31" t="s">
        <v>785</v>
      </c>
      <c r="Z128" s="47"/>
      <c r="AA128" s="4"/>
      <c r="AB128" s="7"/>
    </row>
    <row r="129" spans="1:28" ht="42" customHeight="1">
      <c r="A129" s="6" t="s">
        <v>890</v>
      </c>
      <c r="B129" s="4" t="s">
        <v>891</v>
      </c>
      <c r="C129" s="4" t="s">
        <v>891</v>
      </c>
      <c r="D129" s="4" t="s">
        <v>777</v>
      </c>
      <c r="E129" s="4" t="s">
        <v>778</v>
      </c>
      <c r="F129" s="4" t="s">
        <v>30</v>
      </c>
      <c r="G129" s="4" t="s">
        <v>370</v>
      </c>
      <c r="H129" s="4" t="s">
        <v>181</v>
      </c>
      <c r="I129" s="4" t="s">
        <v>780</v>
      </c>
      <c r="J129" s="7"/>
      <c r="K129" s="7" t="s">
        <v>892</v>
      </c>
      <c r="L129" s="4" t="s">
        <v>782</v>
      </c>
      <c r="M129" s="4" t="s">
        <v>167</v>
      </c>
      <c r="N129" s="4" t="s">
        <v>250</v>
      </c>
      <c r="O129" s="4" t="s">
        <v>783</v>
      </c>
      <c r="P129" s="5">
        <v>46270.666666666664</v>
      </c>
      <c r="Q129" s="4" t="s">
        <v>893</v>
      </c>
      <c r="R129" s="31" t="s">
        <v>31</v>
      </c>
      <c r="S129" s="33">
        <v>0</v>
      </c>
      <c r="T129" s="31" t="s">
        <v>94</v>
      </c>
      <c r="U129" s="33"/>
      <c r="V129" s="31" t="s">
        <v>110</v>
      </c>
      <c r="W129" s="7"/>
      <c r="X129" s="35">
        <v>46271.058773564815</v>
      </c>
      <c r="Y129" s="31" t="s">
        <v>785</v>
      </c>
      <c r="Z129" s="47"/>
      <c r="AA129" s="4"/>
      <c r="AB129" s="7"/>
    </row>
    <row r="130" spans="1:28" ht="42" customHeight="1">
      <c r="A130" s="6" t="s">
        <v>894</v>
      </c>
      <c r="B130" s="4" t="s">
        <v>895</v>
      </c>
      <c r="C130" s="4" t="s">
        <v>895</v>
      </c>
      <c r="D130" s="4" t="s">
        <v>777</v>
      </c>
      <c r="E130" s="4" t="s">
        <v>778</v>
      </c>
      <c r="F130" s="4" t="s">
        <v>30</v>
      </c>
      <c r="G130" s="4" t="s">
        <v>896</v>
      </c>
      <c r="H130" s="4" t="s">
        <v>788</v>
      </c>
      <c r="I130" s="4" t="s">
        <v>780</v>
      </c>
      <c r="J130" s="7"/>
      <c r="K130" s="7" t="s">
        <v>897</v>
      </c>
      <c r="L130" s="4" t="s">
        <v>782</v>
      </c>
      <c r="M130" s="4" t="s">
        <v>167</v>
      </c>
      <c r="N130" s="4" t="s">
        <v>250</v>
      </c>
      <c r="O130" s="4" t="s">
        <v>783</v>
      </c>
      <c r="P130" s="5">
        <v>46270.666666666664</v>
      </c>
      <c r="Q130" s="4" t="s">
        <v>898</v>
      </c>
      <c r="R130" s="31" t="s">
        <v>31</v>
      </c>
      <c r="S130" s="33">
        <v>0</v>
      </c>
      <c r="T130" s="31" t="s">
        <v>94</v>
      </c>
      <c r="U130" s="33"/>
      <c r="V130" s="31" t="s">
        <v>110</v>
      </c>
      <c r="W130" s="7"/>
      <c r="X130" s="35">
        <v>46271.058773564815</v>
      </c>
      <c r="Y130" s="31" t="s">
        <v>785</v>
      </c>
      <c r="Z130" s="47"/>
      <c r="AA130" s="4"/>
      <c r="AB130" s="7"/>
    </row>
    <row r="131" spans="1:28" ht="42" customHeight="1">
      <c r="A131" s="6" t="s">
        <v>899</v>
      </c>
      <c r="B131" s="4" t="s">
        <v>900</v>
      </c>
      <c r="C131" s="4" t="s">
        <v>900</v>
      </c>
      <c r="D131" s="4" t="s">
        <v>777</v>
      </c>
      <c r="E131" s="4" t="s">
        <v>778</v>
      </c>
      <c r="F131" s="4" t="s">
        <v>30</v>
      </c>
      <c r="G131" s="4" t="s">
        <v>370</v>
      </c>
      <c r="H131" s="4" t="s">
        <v>788</v>
      </c>
      <c r="I131" s="4" t="s">
        <v>780</v>
      </c>
      <c r="J131" s="7"/>
      <c r="K131" s="7" t="s">
        <v>901</v>
      </c>
      <c r="L131" s="4" t="s">
        <v>782</v>
      </c>
      <c r="M131" s="4" t="s">
        <v>167</v>
      </c>
      <c r="N131" s="4" t="s">
        <v>250</v>
      </c>
      <c r="O131" s="4" t="s">
        <v>783</v>
      </c>
      <c r="P131" s="5">
        <v>46270.666666666664</v>
      </c>
      <c r="Q131" s="4" t="s">
        <v>902</v>
      </c>
      <c r="R131" s="31" t="s">
        <v>31</v>
      </c>
      <c r="S131" s="33">
        <v>0</v>
      </c>
      <c r="T131" s="31" t="s">
        <v>94</v>
      </c>
      <c r="U131" s="33"/>
      <c r="V131" s="31" t="s">
        <v>110</v>
      </c>
      <c r="W131" s="7"/>
      <c r="X131" s="35">
        <v>46271.058773564815</v>
      </c>
      <c r="Y131" s="31" t="s">
        <v>785</v>
      </c>
      <c r="Z131" s="47"/>
      <c r="AA131" s="4"/>
      <c r="AB131" s="7"/>
    </row>
    <row r="132" spans="1:28" ht="42" customHeight="1">
      <c r="A132" s="6" t="s">
        <v>903</v>
      </c>
      <c r="B132" s="4" t="s">
        <v>904</v>
      </c>
      <c r="C132" s="4" t="s">
        <v>904</v>
      </c>
      <c r="D132" s="4" t="s">
        <v>777</v>
      </c>
      <c r="E132" s="4" t="s">
        <v>778</v>
      </c>
      <c r="F132" s="4" t="s">
        <v>30</v>
      </c>
      <c r="G132" s="4" t="s">
        <v>370</v>
      </c>
      <c r="H132" s="4" t="s">
        <v>788</v>
      </c>
      <c r="I132" s="4" t="s">
        <v>780</v>
      </c>
      <c r="J132" s="7"/>
      <c r="K132" s="7" t="s">
        <v>905</v>
      </c>
      <c r="L132" s="4" t="s">
        <v>782</v>
      </c>
      <c r="M132" s="4" t="s">
        <v>167</v>
      </c>
      <c r="N132" s="4" t="s">
        <v>250</v>
      </c>
      <c r="O132" s="4" t="s">
        <v>783</v>
      </c>
      <c r="P132" s="5">
        <v>46270.666666666664</v>
      </c>
      <c r="Q132" s="4" t="s">
        <v>906</v>
      </c>
      <c r="R132" s="31" t="s">
        <v>31</v>
      </c>
      <c r="S132" s="33">
        <v>0</v>
      </c>
      <c r="T132" s="31" t="s">
        <v>94</v>
      </c>
      <c r="U132" s="33"/>
      <c r="V132" s="31" t="s">
        <v>110</v>
      </c>
      <c r="W132" s="7"/>
      <c r="X132" s="35">
        <v>46271.058773564815</v>
      </c>
      <c r="Y132" s="31" t="s">
        <v>785</v>
      </c>
      <c r="Z132" s="47"/>
      <c r="AA132" s="4"/>
      <c r="AB132" s="7"/>
    </row>
    <row r="133" spans="1:28" ht="42" customHeight="1">
      <c r="A133" s="6" t="s">
        <v>907</v>
      </c>
      <c r="B133" s="4" t="s">
        <v>908</v>
      </c>
      <c r="C133" s="4" t="s">
        <v>908</v>
      </c>
      <c r="D133" s="4" t="s">
        <v>777</v>
      </c>
      <c r="E133" s="4" t="s">
        <v>778</v>
      </c>
      <c r="F133" s="4" t="s">
        <v>32</v>
      </c>
      <c r="G133" s="4" t="s">
        <v>909</v>
      </c>
      <c r="H133" s="4" t="s">
        <v>788</v>
      </c>
      <c r="I133" s="4" t="s">
        <v>780</v>
      </c>
      <c r="J133" s="7"/>
      <c r="K133" s="7" t="s">
        <v>910</v>
      </c>
      <c r="L133" s="4" t="s">
        <v>782</v>
      </c>
      <c r="M133" s="4" t="s">
        <v>167</v>
      </c>
      <c r="N133" s="4" t="s">
        <v>250</v>
      </c>
      <c r="O133" s="4" t="s">
        <v>783</v>
      </c>
      <c r="P133" s="5">
        <v>46270.666666666664</v>
      </c>
      <c r="Q133" s="4" t="s">
        <v>911</v>
      </c>
      <c r="R133" s="31" t="s">
        <v>31</v>
      </c>
      <c r="S133" s="33">
        <v>0</v>
      </c>
      <c r="T133" s="31" t="s">
        <v>94</v>
      </c>
      <c r="U133" s="33"/>
      <c r="V133" s="31" t="s">
        <v>110</v>
      </c>
      <c r="W133" s="7"/>
      <c r="X133" s="35">
        <v>46271.058773564815</v>
      </c>
      <c r="Y133" s="31" t="s">
        <v>785</v>
      </c>
      <c r="Z133" s="47"/>
      <c r="AA133" s="4"/>
      <c r="AB133" s="7"/>
    </row>
    <row r="134" spans="1:28" ht="42" customHeight="1">
      <c r="A134" s="6" t="s">
        <v>912</v>
      </c>
      <c r="B134" s="4" t="s">
        <v>913</v>
      </c>
      <c r="C134" s="4" t="s">
        <v>913</v>
      </c>
      <c r="D134" s="4" t="s">
        <v>777</v>
      </c>
      <c r="E134" s="4" t="s">
        <v>778</v>
      </c>
      <c r="F134" s="4" t="s">
        <v>32</v>
      </c>
      <c r="G134" s="4" t="s">
        <v>914</v>
      </c>
      <c r="H134" s="4" t="s">
        <v>915</v>
      </c>
      <c r="I134" s="4" t="s">
        <v>780</v>
      </c>
      <c r="J134" s="7"/>
      <c r="K134" s="7" t="s">
        <v>916</v>
      </c>
      <c r="L134" s="4" t="s">
        <v>782</v>
      </c>
      <c r="M134" s="4" t="s">
        <v>167</v>
      </c>
      <c r="N134" s="4" t="s">
        <v>250</v>
      </c>
      <c r="O134" s="4" t="s">
        <v>783</v>
      </c>
      <c r="P134" s="5">
        <v>46270.666666666664</v>
      </c>
      <c r="Q134" s="4" t="s">
        <v>917</v>
      </c>
      <c r="R134" s="31" t="s">
        <v>31</v>
      </c>
      <c r="S134" s="33">
        <v>0</v>
      </c>
      <c r="T134" s="31" t="s">
        <v>94</v>
      </c>
      <c r="U134" s="33"/>
      <c r="V134" s="31" t="s">
        <v>110</v>
      </c>
      <c r="W134" s="7"/>
      <c r="X134" s="35">
        <v>46271.058773564815</v>
      </c>
      <c r="Y134" s="31" t="s">
        <v>785</v>
      </c>
      <c r="Z134" s="47"/>
      <c r="AA134" s="4"/>
      <c r="AB134" s="7"/>
    </row>
    <row r="135" spans="1:28" ht="42" customHeight="1">
      <c r="A135" s="6" t="s">
        <v>918</v>
      </c>
      <c r="B135" s="4" t="s">
        <v>919</v>
      </c>
      <c r="C135" s="4" t="s">
        <v>919</v>
      </c>
      <c r="D135" s="4" t="s">
        <v>777</v>
      </c>
      <c r="E135" s="4" t="s">
        <v>778</v>
      </c>
      <c r="F135" s="4" t="s">
        <v>32</v>
      </c>
      <c r="G135" s="4" t="s">
        <v>909</v>
      </c>
      <c r="H135" s="4" t="s">
        <v>476</v>
      </c>
      <c r="I135" s="4" t="s">
        <v>780</v>
      </c>
      <c r="J135" s="7"/>
      <c r="K135" s="7" t="s">
        <v>920</v>
      </c>
      <c r="L135" s="4" t="s">
        <v>782</v>
      </c>
      <c r="M135" s="4" t="s">
        <v>167</v>
      </c>
      <c r="N135" s="4" t="s">
        <v>250</v>
      </c>
      <c r="O135" s="4" t="s">
        <v>783</v>
      </c>
      <c r="P135" s="5">
        <v>46270.666666666664</v>
      </c>
      <c r="Q135" s="4" t="s">
        <v>921</v>
      </c>
      <c r="R135" s="31" t="s">
        <v>31</v>
      </c>
      <c r="S135" s="33">
        <v>0</v>
      </c>
      <c r="T135" s="31" t="s">
        <v>94</v>
      </c>
      <c r="U135" s="33"/>
      <c r="V135" s="31" t="s">
        <v>110</v>
      </c>
      <c r="W135" s="7"/>
      <c r="X135" s="35">
        <v>46271.058773576391</v>
      </c>
      <c r="Y135" s="31" t="s">
        <v>785</v>
      </c>
      <c r="Z135" s="47"/>
      <c r="AA135" s="4"/>
      <c r="AB135" s="7"/>
    </row>
    <row r="136" spans="1:28" ht="42" customHeight="1">
      <c r="A136" s="6" t="s">
        <v>922</v>
      </c>
      <c r="B136" s="4" t="s">
        <v>923</v>
      </c>
      <c r="C136" s="4" t="s">
        <v>923</v>
      </c>
      <c r="D136" s="4" t="s">
        <v>777</v>
      </c>
      <c r="E136" s="4" t="s">
        <v>778</v>
      </c>
      <c r="F136" s="4" t="s">
        <v>32</v>
      </c>
      <c r="G136" s="4" t="s">
        <v>395</v>
      </c>
      <c r="H136" s="4" t="s">
        <v>924</v>
      </c>
      <c r="I136" s="4" t="s">
        <v>780</v>
      </c>
      <c r="J136" s="7"/>
      <c r="K136" s="7" t="s">
        <v>925</v>
      </c>
      <c r="L136" s="4" t="s">
        <v>782</v>
      </c>
      <c r="M136" s="4" t="s">
        <v>167</v>
      </c>
      <c r="N136" s="4" t="s">
        <v>250</v>
      </c>
      <c r="O136" s="4" t="s">
        <v>783</v>
      </c>
      <c r="P136" s="5">
        <v>46270.666666666664</v>
      </c>
      <c r="Q136" s="4" t="s">
        <v>926</v>
      </c>
      <c r="R136" s="31" t="s">
        <v>31</v>
      </c>
      <c r="S136" s="33">
        <v>0</v>
      </c>
      <c r="T136" s="31" t="s">
        <v>94</v>
      </c>
      <c r="U136" s="33"/>
      <c r="V136" s="31" t="s">
        <v>110</v>
      </c>
      <c r="W136" s="7"/>
      <c r="X136" s="35">
        <v>46271.058773576391</v>
      </c>
      <c r="Y136" s="31" t="s">
        <v>785</v>
      </c>
      <c r="Z136" s="47"/>
      <c r="AA136" s="4"/>
      <c r="AB136" s="7"/>
    </row>
    <row r="137" spans="1:28" ht="42" customHeight="1">
      <c r="A137" s="6" t="s">
        <v>927</v>
      </c>
      <c r="B137" s="4" t="s">
        <v>908</v>
      </c>
      <c r="C137" s="4" t="s">
        <v>908</v>
      </c>
      <c r="D137" s="4" t="s">
        <v>777</v>
      </c>
      <c r="E137" s="4" t="s">
        <v>778</v>
      </c>
      <c r="F137" s="4" t="s">
        <v>32</v>
      </c>
      <c r="G137" s="4" t="s">
        <v>909</v>
      </c>
      <c r="H137" s="4" t="s">
        <v>928</v>
      </c>
      <c r="I137" s="4" t="s">
        <v>780</v>
      </c>
      <c r="J137" s="7"/>
      <c r="K137" s="7" t="s">
        <v>929</v>
      </c>
      <c r="L137" s="4" t="s">
        <v>782</v>
      </c>
      <c r="M137" s="4" t="s">
        <v>167</v>
      </c>
      <c r="N137" s="4" t="s">
        <v>250</v>
      </c>
      <c r="O137" s="4" t="s">
        <v>783</v>
      </c>
      <c r="P137" s="5">
        <v>46270.666666666664</v>
      </c>
      <c r="Q137" s="4" t="s">
        <v>930</v>
      </c>
      <c r="R137" s="31" t="s">
        <v>31</v>
      </c>
      <c r="S137" s="33">
        <v>0</v>
      </c>
      <c r="T137" s="31" t="s">
        <v>94</v>
      </c>
      <c r="U137" s="33"/>
      <c r="V137" s="31" t="s">
        <v>110</v>
      </c>
      <c r="W137" s="7"/>
      <c r="X137" s="35">
        <v>46271.058773576391</v>
      </c>
      <c r="Y137" s="31" t="s">
        <v>785</v>
      </c>
      <c r="Z137" s="47"/>
      <c r="AA137" s="4"/>
      <c r="AB137" s="7"/>
    </row>
    <row r="138" spans="1:28" ht="42" customHeight="1">
      <c r="A138" s="6" t="s">
        <v>931</v>
      </c>
      <c r="B138" s="4" t="s">
        <v>919</v>
      </c>
      <c r="C138" s="4" t="s">
        <v>919</v>
      </c>
      <c r="D138" s="4" t="s">
        <v>777</v>
      </c>
      <c r="E138" s="4" t="s">
        <v>778</v>
      </c>
      <c r="F138" s="4" t="s">
        <v>32</v>
      </c>
      <c r="G138" s="4" t="s">
        <v>909</v>
      </c>
      <c r="H138" s="4" t="s">
        <v>932</v>
      </c>
      <c r="I138" s="4" t="s">
        <v>780</v>
      </c>
      <c r="J138" s="7"/>
      <c r="K138" s="7" t="s">
        <v>933</v>
      </c>
      <c r="L138" s="4" t="s">
        <v>782</v>
      </c>
      <c r="M138" s="4" t="s">
        <v>167</v>
      </c>
      <c r="N138" s="4" t="s">
        <v>250</v>
      </c>
      <c r="O138" s="4" t="s">
        <v>783</v>
      </c>
      <c r="P138" s="5">
        <v>46270.666666666664</v>
      </c>
      <c r="Q138" s="4" t="s">
        <v>934</v>
      </c>
      <c r="R138" s="31" t="s">
        <v>31</v>
      </c>
      <c r="S138" s="33">
        <v>0</v>
      </c>
      <c r="T138" s="31" t="s">
        <v>94</v>
      </c>
      <c r="U138" s="33"/>
      <c r="V138" s="31" t="s">
        <v>110</v>
      </c>
      <c r="W138" s="7"/>
      <c r="X138" s="35">
        <v>46271.058773576391</v>
      </c>
      <c r="Y138" s="31" t="s">
        <v>785</v>
      </c>
      <c r="Z138" s="47"/>
      <c r="AA138" s="4"/>
      <c r="AB138" s="7"/>
    </row>
    <row r="139" spans="1:28" ht="42" customHeight="1">
      <c r="A139" s="6" t="s">
        <v>935</v>
      </c>
      <c r="B139" s="4" t="s">
        <v>936</v>
      </c>
      <c r="C139" s="4" t="s">
        <v>936</v>
      </c>
      <c r="D139" s="4" t="s">
        <v>777</v>
      </c>
      <c r="E139" s="4" t="s">
        <v>778</v>
      </c>
      <c r="F139" s="4" t="s">
        <v>32</v>
      </c>
      <c r="G139" s="4" t="s">
        <v>914</v>
      </c>
      <c r="H139" s="4" t="s">
        <v>937</v>
      </c>
      <c r="I139" s="4" t="s">
        <v>780</v>
      </c>
      <c r="J139" s="7"/>
      <c r="K139" s="7" t="s">
        <v>938</v>
      </c>
      <c r="L139" s="4" t="s">
        <v>782</v>
      </c>
      <c r="M139" s="4" t="s">
        <v>167</v>
      </c>
      <c r="N139" s="4" t="s">
        <v>250</v>
      </c>
      <c r="O139" s="4" t="s">
        <v>783</v>
      </c>
      <c r="P139" s="5">
        <v>46270.666666666664</v>
      </c>
      <c r="Q139" s="4" t="s">
        <v>939</v>
      </c>
      <c r="R139" s="31" t="s">
        <v>31</v>
      </c>
      <c r="S139" s="33">
        <v>0</v>
      </c>
      <c r="T139" s="31" t="s">
        <v>94</v>
      </c>
      <c r="U139" s="33"/>
      <c r="V139" s="31" t="s">
        <v>110</v>
      </c>
      <c r="W139" s="7"/>
      <c r="X139" s="35">
        <v>46271.058773576391</v>
      </c>
      <c r="Y139" s="31" t="s">
        <v>785</v>
      </c>
      <c r="Z139" s="47"/>
      <c r="AA139" s="4"/>
      <c r="AB139" s="7"/>
    </row>
    <row r="140" spans="1:28" ht="42" customHeight="1">
      <c r="A140" s="6" t="s">
        <v>940</v>
      </c>
      <c r="B140" s="4" t="s">
        <v>941</v>
      </c>
      <c r="C140" s="4" t="s">
        <v>941</v>
      </c>
      <c r="D140" s="4" t="s">
        <v>777</v>
      </c>
      <c r="E140" s="4" t="s">
        <v>778</v>
      </c>
      <c r="F140" s="4" t="s">
        <v>32</v>
      </c>
      <c r="G140" s="4" t="s">
        <v>395</v>
      </c>
      <c r="H140" s="4" t="s">
        <v>942</v>
      </c>
      <c r="I140" s="4" t="s">
        <v>780</v>
      </c>
      <c r="J140" s="7"/>
      <c r="K140" s="7" t="s">
        <v>943</v>
      </c>
      <c r="L140" s="4" t="s">
        <v>782</v>
      </c>
      <c r="M140" s="4" t="s">
        <v>167</v>
      </c>
      <c r="N140" s="4" t="s">
        <v>250</v>
      </c>
      <c r="O140" s="4" t="s">
        <v>783</v>
      </c>
      <c r="P140" s="5">
        <v>46270.666666666664</v>
      </c>
      <c r="Q140" s="4" t="s">
        <v>944</v>
      </c>
      <c r="R140" s="31" t="s">
        <v>31</v>
      </c>
      <c r="S140" s="33">
        <v>0</v>
      </c>
      <c r="T140" s="31" t="s">
        <v>94</v>
      </c>
      <c r="U140" s="33"/>
      <c r="V140" s="31" t="s">
        <v>110</v>
      </c>
      <c r="W140" s="7"/>
      <c r="X140" s="35">
        <v>46271.058773576391</v>
      </c>
      <c r="Y140" s="31" t="s">
        <v>785</v>
      </c>
      <c r="Z140" s="47"/>
      <c r="AA140" s="4"/>
      <c r="AB140" s="7"/>
    </row>
    <row r="141" spans="1:28" ht="42" customHeight="1">
      <c r="A141" s="6" t="s">
        <v>945</v>
      </c>
      <c r="B141" s="4" t="s">
        <v>946</v>
      </c>
      <c r="C141" s="4" t="s">
        <v>946</v>
      </c>
      <c r="D141" s="4" t="s">
        <v>777</v>
      </c>
      <c r="E141" s="4" t="s">
        <v>778</v>
      </c>
      <c r="F141" s="4" t="s">
        <v>33</v>
      </c>
      <c r="G141" s="4" t="s">
        <v>947</v>
      </c>
      <c r="H141" s="4" t="s">
        <v>948</v>
      </c>
      <c r="I141" s="4" t="s">
        <v>780</v>
      </c>
      <c r="J141" s="7"/>
      <c r="K141" s="7" t="s">
        <v>949</v>
      </c>
      <c r="L141" s="4" t="s">
        <v>782</v>
      </c>
      <c r="M141" s="4" t="s">
        <v>167</v>
      </c>
      <c r="N141" s="4" t="s">
        <v>250</v>
      </c>
      <c r="O141" s="4" t="s">
        <v>783</v>
      </c>
      <c r="P141" s="5">
        <v>46270.666666666664</v>
      </c>
      <c r="Q141" s="4" t="s">
        <v>950</v>
      </c>
      <c r="R141" s="31" t="s">
        <v>31</v>
      </c>
      <c r="S141" s="33">
        <v>0</v>
      </c>
      <c r="T141" s="31" t="s">
        <v>94</v>
      </c>
      <c r="U141" s="33"/>
      <c r="V141" s="31" t="s">
        <v>110</v>
      </c>
      <c r="W141" s="7"/>
      <c r="X141" s="35">
        <v>46271.058773576391</v>
      </c>
      <c r="Y141" s="31" t="s">
        <v>785</v>
      </c>
      <c r="Z141" s="47"/>
      <c r="AA141" s="4"/>
      <c r="AB141" s="7"/>
    </row>
    <row r="142" spans="1:28" ht="42" customHeight="1">
      <c r="A142" s="6" t="s">
        <v>951</v>
      </c>
      <c r="B142" s="4" t="s">
        <v>952</v>
      </c>
      <c r="C142" s="4" t="s">
        <v>952</v>
      </c>
      <c r="D142" s="4" t="s">
        <v>777</v>
      </c>
      <c r="E142" s="4" t="s">
        <v>778</v>
      </c>
      <c r="F142" s="4" t="s">
        <v>33</v>
      </c>
      <c r="G142" s="4" t="s">
        <v>953</v>
      </c>
      <c r="H142" s="4" t="s">
        <v>788</v>
      </c>
      <c r="I142" s="4" t="s">
        <v>780</v>
      </c>
      <c r="J142" s="7"/>
      <c r="K142" s="7" t="s">
        <v>954</v>
      </c>
      <c r="L142" s="4" t="s">
        <v>782</v>
      </c>
      <c r="M142" s="4" t="s">
        <v>167</v>
      </c>
      <c r="N142" s="4" t="s">
        <v>250</v>
      </c>
      <c r="O142" s="4" t="s">
        <v>783</v>
      </c>
      <c r="P142" s="5">
        <v>46270.666666666664</v>
      </c>
      <c r="Q142" s="4" t="s">
        <v>955</v>
      </c>
      <c r="R142" s="31" t="s">
        <v>31</v>
      </c>
      <c r="S142" s="33">
        <v>0</v>
      </c>
      <c r="T142" s="31" t="s">
        <v>94</v>
      </c>
      <c r="U142" s="33"/>
      <c r="V142" s="31" t="s">
        <v>110</v>
      </c>
      <c r="W142" s="7"/>
      <c r="X142" s="35">
        <v>46271.058773576391</v>
      </c>
      <c r="Y142" s="31" t="s">
        <v>785</v>
      </c>
      <c r="Z142" s="47"/>
      <c r="AA142" s="4"/>
      <c r="AB142" s="7"/>
    </row>
    <row r="143" spans="1:28" ht="42" customHeight="1">
      <c r="A143" s="6" t="s">
        <v>956</v>
      </c>
      <c r="B143" s="4" t="s">
        <v>957</v>
      </c>
      <c r="C143" s="4" t="s">
        <v>957</v>
      </c>
      <c r="D143" s="4" t="s">
        <v>777</v>
      </c>
      <c r="E143" s="4" t="s">
        <v>778</v>
      </c>
      <c r="F143" s="4" t="s">
        <v>33</v>
      </c>
      <c r="G143" s="4" t="s">
        <v>958</v>
      </c>
      <c r="H143" s="4" t="s">
        <v>788</v>
      </c>
      <c r="I143" s="4" t="s">
        <v>780</v>
      </c>
      <c r="J143" s="7"/>
      <c r="K143" s="7" t="s">
        <v>959</v>
      </c>
      <c r="L143" s="4" t="s">
        <v>782</v>
      </c>
      <c r="M143" s="4" t="s">
        <v>167</v>
      </c>
      <c r="N143" s="4" t="s">
        <v>250</v>
      </c>
      <c r="O143" s="4" t="s">
        <v>783</v>
      </c>
      <c r="P143" s="5">
        <v>46270.666666666664</v>
      </c>
      <c r="Q143" s="4" t="s">
        <v>960</v>
      </c>
      <c r="R143" s="31" t="s">
        <v>31</v>
      </c>
      <c r="S143" s="33">
        <v>0</v>
      </c>
      <c r="T143" s="31" t="s">
        <v>94</v>
      </c>
      <c r="U143" s="33"/>
      <c r="V143" s="31" t="s">
        <v>110</v>
      </c>
      <c r="W143" s="7"/>
      <c r="X143" s="35">
        <v>46271.058773576391</v>
      </c>
      <c r="Y143" s="31" t="s">
        <v>785</v>
      </c>
      <c r="Z143" s="47"/>
      <c r="AA143" s="4"/>
      <c r="AB143" s="7"/>
    </row>
    <row r="144" spans="1:28" ht="42" customHeight="1">
      <c r="A144" s="6" t="s">
        <v>961</v>
      </c>
      <c r="B144" s="4" t="s">
        <v>962</v>
      </c>
      <c r="C144" s="4" t="s">
        <v>962</v>
      </c>
      <c r="D144" s="4" t="s">
        <v>777</v>
      </c>
      <c r="E144" s="4" t="s">
        <v>778</v>
      </c>
      <c r="F144" s="4" t="s">
        <v>33</v>
      </c>
      <c r="G144" s="4" t="s">
        <v>963</v>
      </c>
      <c r="H144" s="4" t="s">
        <v>788</v>
      </c>
      <c r="I144" s="4" t="s">
        <v>780</v>
      </c>
      <c r="J144" s="7"/>
      <c r="K144" s="7" t="s">
        <v>964</v>
      </c>
      <c r="L144" s="4" t="s">
        <v>782</v>
      </c>
      <c r="M144" s="4" t="s">
        <v>167</v>
      </c>
      <c r="N144" s="4" t="s">
        <v>250</v>
      </c>
      <c r="O144" s="4" t="s">
        <v>783</v>
      </c>
      <c r="P144" s="5">
        <v>46270.666666666664</v>
      </c>
      <c r="Q144" s="4" t="s">
        <v>965</v>
      </c>
      <c r="R144" s="31" t="s">
        <v>31</v>
      </c>
      <c r="S144" s="33">
        <v>0</v>
      </c>
      <c r="T144" s="31" t="s">
        <v>94</v>
      </c>
      <c r="U144" s="33"/>
      <c r="V144" s="31" t="s">
        <v>110</v>
      </c>
      <c r="W144" s="7"/>
      <c r="X144" s="35">
        <v>46271.058773576391</v>
      </c>
      <c r="Y144" s="31" t="s">
        <v>785</v>
      </c>
      <c r="Z144" s="47"/>
      <c r="AA144" s="4"/>
      <c r="AB144" s="7"/>
    </row>
    <row r="145" spans="1:28" ht="42" customHeight="1">
      <c r="A145" s="6" t="s">
        <v>966</v>
      </c>
      <c r="B145" s="4" t="s">
        <v>967</v>
      </c>
      <c r="C145" s="4" t="s">
        <v>967</v>
      </c>
      <c r="D145" s="4" t="s">
        <v>777</v>
      </c>
      <c r="E145" s="4" t="s">
        <v>778</v>
      </c>
      <c r="F145" s="4" t="s">
        <v>33</v>
      </c>
      <c r="G145" s="4" t="s">
        <v>968</v>
      </c>
      <c r="H145" s="4" t="s">
        <v>948</v>
      </c>
      <c r="I145" s="4" t="s">
        <v>780</v>
      </c>
      <c r="J145" s="7"/>
      <c r="K145" s="7" t="s">
        <v>969</v>
      </c>
      <c r="L145" s="4" t="s">
        <v>782</v>
      </c>
      <c r="M145" s="4" t="s">
        <v>167</v>
      </c>
      <c r="N145" s="4" t="s">
        <v>250</v>
      </c>
      <c r="O145" s="4" t="s">
        <v>783</v>
      </c>
      <c r="P145" s="5">
        <v>46270.666666666664</v>
      </c>
      <c r="Q145" s="4" t="s">
        <v>970</v>
      </c>
      <c r="R145" s="31" t="s">
        <v>31</v>
      </c>
      <c r="S145" s="33">
        <v>0</v>
      </c>
      <c r="T145" s="31" t="s">
        <v>94</v>
      </c>
      <c r="U145" s="33"/>
      <c r="V145" s="31" t="s">
        <v>110</v>
      </c>
      <c r="W145" s="7"/>
      <c r="X145" s="35">
        <v>46271.058773576391</v>
      </c>
      <c r="Y145" s="31" t="s">
        <v>785</v>
      </c>
      <c r="Z145" s="47"/>
      <c r="AA145" s="4"/>
      <c r="AB145" s="7"/>
    </row>
    <row r="146" spans="1:28" ht="42" customHeight="1">
      <c r="A146" s="6" t="s">
        <v>971</v>
      </c>
      <c r="B146" s="4" t="s">
        <v>972</v>
      </c>
      <c r="C146" s="4" t="s">
        <v>972</v>
      </c>
      <c r="D146" s="4" t="s">
        <v>777</v>
      </c>
      <c r="E146" s="4" t="s">
        <v>778</v>
      </c>
      <c r="F146" s="4" t="s">
        <v>33</v>
      </c>
      <c r="G146" s="4" t="s">
        <v>973</v>
      </c>
      <c r="H146" s="4" t="s">
        <v>974</v>
      </c>
      <c r="I146" s="4" t="s">
        <v>780</v>
      </c>
      <c r="J146" s="7"/>
      <c r="K146" s="7" t="s">
        <v>975</v>
      </c>
      <c r="L146" s="4" t="s">
        <v>782</v>
      </c>
      <c r="M146" s="4" t="s">
        <v>167</v>
      </c>
      <c r="N146" s="4" t="s">
        <v>250</v>
      </c>
      <c r="O146" s="4" t="s">
        <v>783</v>
      </c>
      <c r="P146" s="5">
        <v>46270.666666666664</v>
      </c>
      <c r="Q146" s="4" t="s">
        <v>976</v>
      </c>
      <c r="R146" s="31" t="s">
        <v>31</v>
      </c>
      <c r="S146" s="33">
        <v>0</v>
      </c>
      <c r="T146" s="31" t="s">
        <v>94</v>
      </c>
      <c r="U146" s="33"/>
      <c r="V146" s="31" t="s">
        <v>110</v>
      </c>
      <c r="W146" s="7"/>
      <c r="X146" s="35">
        <v>46271.058773576391</v>
      </c>
      <c r="Y146" s="31" t="s">
        <v>785</v>
      </c>
      <c r="Z146" s="47"/>
      <c r="AA146" s="4"/>
      <c r="AB146" s="7"/>
    </row>
    <row r="147" spans="1:28" ht="42" customHeight="1">
      <c r="A147" s="6" t="s">
        <v>977</v>
      </c>
      <c r="B147" s="4" t="s">
        <v>978</v>
      </c>
      <c r="C147" s="4" t="s">
        <v>978</v>
      </c>
      <c r="D147" s="4" t="s">
        <v>777</v>
      </c>
      <c r="E147" s="4" t="s">
        <v>778</v>
      </c>
      <c r="F147" s="4" t="s">
        <v>33</v>
      </c>
      <c r="G147" s="4" t="s">
        <v>979</v>
      </c>
      <c r="H147" s="4" t="s">
        <v>948</v>
      </c>
      <c r="I147" s="4" t="s">
        <v>780</v>
      </c>
      <c r="J147" s="7"/>
      <c r="K147" s="7" t="s">
        <v>980</v>
      </c>
      <c r="L147" s="4" t="s">
        <v>782</v>
      </c>
      <c r="M147" s="4" t="s">
        <v>167</v>
      </c>
      <c r="N147" s="4" t="s">
        <v>250</v>
      </c>
      <c r="O147" s="4" t="s">
        <v>783</v>
      </c>
      <c r="P147" s="5">
        <v>46270.666666666664</v>
      </c>
      <c r="Q147" s="4" t="s">
        <v>981</v>
      </c>
      <c r="R147" s="31" t="s">
        <v>31</v>
      </c>
      <c r="S147" s="33">
        <v>0</v>
      </c>
      <c r="T147" s="31" t="s">
        <v>94</v>
      </c>
      <c r="U147" s="33"/>
      <c r="V147" s="31" t="s">
        <v>110</v>
      </c>
      <c r="W147" s="7"/>
      <c r="X147" s="35">
        <v>46271.058773576391</v>
      </c>
      <c r="Y147" s="31" t="s">
        <v>785</v>
      </c>
      <c r="Z147" s="47"/>
      <c r="AA147" s="4"/>
      <c r="AB147" s="7"/>
    </row>
    <row r="148" spans="1:28" ht="42" customHeight="1">
      <c r="A148" s="6" t="s">
        <v>982</v>
      </c>
      <c r="B148" s="4" t="s">
        <v>983</v>
      </c>
      <c r="C148" s="4" t="s">
        <v>983</v>
      </c>
      <c r="D148" s="4" t="s">
        <v>777</v>
      </c>
      <c r="E148" s="4" t="s">
        <v>778</v>
      </c>
      <c r="F148" s="4" t="s">
        <v>33</v>
      </c>
      <c r="G148" s="4" t="s">
        <v>973</v>
      </c>
      <c r="H148" s="4" t="s">
        <v>788</v>
      </c>
      <c r="I148" s="4" t="s">
        <v>780</v>
      </c>
      <c r="J148" s="7"/>
      <c r="K148" s="7" t="s">
        <v>984</v>
      </c>
      <c r="L148" s="4" t="s">
        <v>782</v>
      </c>
      <c r="M148" s="4" t="s">
        <v>167</v>
      </c>
      <c r="N148" s="4" t="s">
        <v>250</v>
      </c>
      <c r="O148" s="4" t="s">
        <v>783</v>
      </c>
      <c r="P148" s="5">
        <v>46270.666666666664</v>
      </c>
      <c r="Q148" s="4" t="s">
        <v>985</v>
      </c>
      <c r="R148" s="31" t="s">
        <v>31</v>
      </c>
      <c r="S148" s="33">
        <v>0</v>
      </c>
      <c r="T148" s="31" t="s">
        <v>94</v>
      </c>
      <c r="U148" s="33"/>
      <c r="V148" s="31" t="s">
        <v>110</v>
      </c>
      <c r="W148" s="7"/>
      <c r="X148" s="35">
        <v>46271.058773576391</v>
      </c>
      <c r="Y148" s="31" t="s">
        <v>785</v>
      </c>
      <c r="Z148" s="47"/>
      <c r="AA148" s="4"/>
      <c r="AB148" s="7"/>
    </row>
    <row r="149" spans="1:28" ht="42" customHeight="1">
      <c r="A149" s="6" t="s">
        <v>986</v>
      </c>
      <c r="B149" s="4" t="s">
        <v>987</v>
      </c>
      <c r="C149" s="4" t="s">
        <v>987</v>
      </c>
      <c r="D149" s="4" t="s">
        <v>777</v>
      </c>
      <c r="E149" s="4" t="s">
        <v>778</v>
      </c>
      <c r="F149" s="4" t="s">
        <v>33</v>
      </c>
      <c r="G149" s="4" t="s">
        <v>988</v>
      </c>
      <c r="H149" s="4" t="s">
        <v>788</v>
      </c>
      <c r="I149" s="4" t="s">
        <v>780</v>
      </c>
      <c r="J149" s="7"/>
      <c r="K149" s="7" t="s">
        <v>989</v>
      </c>
      <c r="L149" s="4" t="s">
        <v>782</v>
      </c>
      <c r="M149" s="4" t="s">
        <v>167</v>
      </c>
      <c r="N149" s="4" t="s">
        <v>250</v>
      </c>
      <c r="O149" s="4" t="s">
        <v>783</v>
      </c>
      <c r="P149" s="5">
        <v>46270.666666666664</v>
      </c>
      <c r="Q149" s="4" t="s">
        <v>990</v>
      </c>
      <c r="R149" s="31" t="s">
        <v>31</v>
      </c>
      <c r="S149" s="33">
        <v>0</v>
      </c>
      <c r="T149" s="31" t="s">
        <v>94</v>
      </c>
      <c r="U149" s="33"/>
      <c r="V149" s="31" t="s">
        <v>110</v>
      </c>
      <c r="W149" s="7"/>
      <c r="X149" s="35">
        <v>46271.058773576391</v>
      </c>
      <c r="Y149" s="31" t="s">
        <v>785</v>
      </c>
      <c r="Z149" s="47"/>
      <c r="AA149" s="4"/>
      <c r="AB149" s="7"/>
    </row>
    <row r="150" spans="1:28" ht="42" customHeight="1">
      <c r="A150" s="6" t="s">
        <v>991</v>
      </c>
      <c r="B150" s="4" t="s">
        <v>427</v>
      </c>
      <c r="C150" s="4" t="s">
        <v>427</v>
      </c>
      <c r="D150" s="4" t="s">
        <v>777</v>
      </c>
      <c r="E150" s="4" t="s">
        <v>778</v>
      </c>
      <c r="F150" s="4" t="s">
        <v>34</v>
      </c>
      <c r="G150" s="4" t="s">
        <v>429</v>
      </c>
      <c r="H150" s="4" t="s">
        <v>992</v>
      </c>
      <c r="I150" s="4" t="s">
        <v>780</v>
      </c>
      <c r="J150" s="7"/>
      <c r="K150" s="7" t="s">
        <v>993</v>
      </c>
      <c r="L150" s="4" t="s">
        <v>782</v>
      </c>
      <c r="M150" s="4" t="s">
        <v>167</v>
      </c>
      <c r="N150" s="4" t="s">
        <v>250</v>
      </c>
      <c r="O150" s="4" t="s">
        <v>783</v>
      </c>
      <c r="P150" s="5">
        <v>46270.666666666664</v>
      </c>
      <c r="Q150" s="4" t="s">
        <v>994</v>
      </c>
      <c r="R150" s="31" t="s">
        <v>31</v>
      </c>
      <c r="S150" s="33">
        <v>0</v>
      </c>
      <c r="T150" s="31" t="s">
        <v>94</v>
      </c>
      <c r="U150" s="33"/>
      <c r="V150" s="31" t="s">
        <v>110</v>
      </c>
      <c r="W150" s="7"/>
      <c r="X150" s="35">
        <v>46271.058773576391</v>
      </c>
      <c r="Y150" s="31" t="s">
        <v>785</v>
      </c>
      <c r="Z150" s="47"/>
      <c r="AA150" s="4"/>
      <c r="AB150" s="7"/>
    </row>
    <row r="151" spans="1:28" ht="42" customHeight="1">
      <c r="A151" s="6" t="s">
        <v>995</v>
      </c>
      <c r="B151" s="4" t="s">
        <v>996</v>
      </c>
      <c r="C151" s="4" t="s">
        <v>996</v>
      </c>
      <c r="D151" s="4" t="s">
        <v>777</v>
      </c>
      <c r="E151" s="4" t="s">
        <v>778</v>
      </c>
      <c r="F151" s="4" t="s">
        <v>34</v>
      </c>
      <c r="G151" s="4" t="s">
        <v>422</v>
      </c>
      <c r="H151" s="4" t="s">
        <v>997</v>
      </c>
      <c r="I151" s="4" t="s">
        <v>780</v>
      </c>
      <c r="J151" s="7"/>
      <c r="K151" s="7" t="s">
        <v>998</v>
      </c>
      <c r="L151" s="4" t="s">
        <v>782</v>
      </c>
      <c r="M151" s="4" t="s">
        <v>167</v>
      </c>
      <c r="N151" s="4" t="s">
        <v>250</v>
      </c>
      <c r="O151" s="4" t="s">
        <v>783</v>
      </c>
      <c r="P151" s="5">
        <v>46270.666666666664</v>
      </c>
      <c r="Q151" s="4" t="s">
        <v>999</v>
      </c>
      <c r="R151" s="31" t="s">
        <v>31</v>
      </c>
      <c r="S151" s="33">
        <v>0</v>
      </c>
      <c r="T151" s="31" t="s">
        <v>94</v>
      </c>
      <c r="U151" s="33"/>
      <c r="V151" s="31" t="s">
        <v>110</v>
      </c>
      <c r="W151" s="7"/>
      <c r="X151" s="35">
        <v>46271.058773576391</v>
      </c>
      <c r="Y151" s="31" t="s">
        <v>785</v>
      </c>
      <c r="Z151" s="47"/>
      <c r="AA151" s="4"/>
      <c r="AB151" s="7"/>
    </row>
    <row r="152" spans="1:28" ht="42" customHeight="1">
      <c r="A152" s="6" t="s">
        <v>1000</v>
      </c>
      <c r="B152" s="4" t="s">
        <v>1001</v>
      </c>
      <c r="C152" s="4" t="s">
        <v>1001</v>
      </c>
      <c r="D152" s="4" t="s">
        <v>777</v>
      </c>
      <c r="E152" s="4" t="s">
        <v>778</v>
      </c>
      <c r="F152" s="4" t="s">
        <v>34</v>
      </c>
      <c r="G152" s="4"/>
      <c r="H152" s="4" t="s">
        <v>788</v>
      </c>
      <c r="I152" s="4" t="s">
        <v>780</v>
      </c>
      <c r="J152" s="7"/>
      <c r="K152" s="7" t="s">
        <v>1002</v>
      </c>
      <c r="L152" s="4" t="s">
        <v>782</v>
      </c>
      <c r="M152" s="4" t="s">
        <v>167</v>
      </c>
      <c r="N152" s="4" t="s">
        <v>250</v>
      </c>
      <c r="O152" s="4" t="s">
        <v>783</v>
      </c>
      <c r="P152" s="5">
        <v>46270.666666666664</v>
      </c>
      <c r="Q152" s="4" t="s">
        <v>1003</v>
      </c>
      <c r="R152" s="31" t="s">
        <v>31</v>
      </c>
      <c r="S152" s="33">
        <v>0</v>
      </c>
      <c r="T152" s="31" t="s">
        <v>94</v>
      </c>
      <c r="U152" s="33"/>
      <c r="V152" s="31" t="s">
        <v>110</v>
      </c>
      <c r="W152" s="7"/>
      <c r="X152" s="35">
        <v>46271.058773576391</v>
      </c>
      <c r="Y152" s="31" t="s">
        <v>785</v>
      </c>
      <c r="Z152" s="47"/>
      <c r="AA152" s="4"/>
      <c r="AB152" s="7"/>
    </row>
    <row r="153" spans="1:28" ht="42" customHeight="1">
      <c r="A153" s="6" t="s">
        <v>1004</v>
      </c>
      <c r="B153" s="4" t="s">
        <v>1005</v>
      </c>
      <c r="C153" s="4" t="s">
        <v>1005</v>
      </c>
      <c r="D153" s="4" t="s">
        <v>777</v>
      </c>
      <c r="E153" s="4" t="s">
        <v>778</v>
      </c>
      <c r="F153" s="4" t="s">
        <v>34</v>
      </c>
      <c r="G153" s="4" t="s">
        <v>414</v>
      </c>
      <c r="H153" s="4" t="s">
        <v>788</v>
      </c>
      <c r="I153" s="4" t="s">
        <v>780</v>
      </c>
      <c r="J153" s="7"/>
      <c r="K153" s="7" t="s">
        <v>1006</v>
      </c>
      <c r="L153" s="4" t="s">
        <v>782</v>
      </c>
      <c r="M153" s="4" t="s">
        <v>167</v>
      </c>
      <c r="N153" s="4" t="s">
        <v>250</v>
      </c>
      <c r="O153" s="4" t="s">
        <v>783</v>
      </c>
      <c r="P153" s="5">
        <v>46270.666666666664</v>
      </c>
      <c r="Q153" s="4" t="s">
        <v>1007</v>
      </c>
      <c r="R153" s="31" t="s">
        <v>31</v>
      </c>
      <c r="S153" s="33">
        <v>0</v>
      </c>
      <c r="T153" s="31" t="s">
        <v>94</v>
      </c>
      <c r="U153" s="33"/>
      <c r="V153" s="31" t="s">
        <v>110</v>
      </c>
      <c r="W153" s="7"/>
      <c r="X153" s="35">
        <v>46271.058773576391</v>
      </c>
      <c r="Y153" s="31" t="s">
        <v>785</v>
      </c>
      <c r="Z153" s="47"/>
      <c r="AA153" s="4"/>
      <c r="AB153" s="7"/>
    </row>
    <row r="154" spans="1:28" ht="42" customHeight="1">
      <c r="A154" s="6" t="s">
        <v>1008</v>
      </c>
      <c r="B154" s="4" t="s">
        <v>1009</v>
      </c>
      <c r="C154" s="4" t="s">
        <v>1009</v>
      </c>
      <c r="D154" s="4" t="s">
        <v>777</v>
      </c>
      <c r="E154" s="4" t="s">
        <v>778</v>
      </c>
      <c r="F154" s="4" t="s">
        <v>34</v>
      </c>
      <c r="G154" s="4" t="s">
        <v>414</v>
      </c>
      <c r="H154" s="4" t="s">
        <v>788</v>
      </c>
      <c r="I154" s="4" t="s">
        <v>780</v>
      </c>
      <c r="J154" s="7"/>
      <c r="K154" s="7" t="s">
        <v>1010</v>
      </c>
      <c r="L154" s="4" t="s">
        <v>782</v>
      </c>
      <c r="M154" s="4" t="s">
        <v>167</v>
      </c>
      <c r="N154" s="4" t="s">
        <v>250</v>
      </c>
      <c r="O154" s="4" t="s">
        <v>783</v>
      </c>
      <c r="P154" s="5">
        <v>46270.666666666664</v>
      </c>
      <c r="Q154" s="4" t="s">
        <v>1011</v>
      </c>
      <c r="R154" s="31" t="s">
        <v>31</v>
      </c>
      <c r="S154" s="33">
        <v>0</v>
      </c>
      <c r="T154" s="31" t="s">
        <v>94</v>
      </c>
      <c r="U154" s="33"/>
      <c r="V154" s="31" t="s">
        <v>110</v>
      </c>
      <c r="W154" s="7"/>
      <c r="X154" s="35">
        <v>46271.058773576391</v>
      </c>
      <c r="Y154" s="31" t="s">
        <v>785</v>
      </c>
      <c r="Z154" s="47"/>
      <c r="AA154" s="4"/>
      <c r="AB154" s="7"/>
    </row>
    <row r="155" spans="1:28" ht="42" customHeight="1">
      <c r="A155" s="6" t="s">
        <v>1012</v>
      </c>
      <c r="B155" s="4" t="s">
        <v>1013</v>
      </c>
      <c r="C155" s="4" t="s">
        <v>1013</v>
      </c>
      <c r="D155" s="4" t="s">
        <v>777</v>
      </c>
      <c r="E155" s="4" t="s">
        <v>778</v>
      </c>
      <c r="F155" s="4" t="s">
        <v>34</v>
      </c>
      <c r="G155" s="4" t="s">
        <v>414</v>
      </c>
      <c r="H155" s="4" t="s">
        <v>948</v>
      </c>
      <c r="I155" s="4" t="s">
        <v>780</v>
      </c>
      <c r="J155" s="7"/>
      <c r="K155" s="7" t="s">
        <v>1014</v>
      </c>
      <c r="L155" s="4" t="s">
        <v>782</v>
      </c>
      <c r="M155" s="4" t="s">
        <v>167</v>
      </c>
      <c r="N155" s="4" t="s">
        <v>250</v>
      </c>
      <c r="O155" s="4" t="s">
        <v>783</v>
      </c>
      <c r="P155" s="5">
        <v>46270.666666666664</v>
      </c>
      <c r="Q155" s="4" t="s">
        <v>1015</v>
      </c>
      <c r="R155" s="31" t="s">
        <v>31</v>
      </c>
      <c r="S155" s="33">
        <v>0</v>
      </c>
      <c r="T155" s="31" t="s">
        <v>94</v>
      </c>
      <c r="U155" s="33"/>
      <c r="V155" s="31" t="s">
        <v>110</v>
      </c>
      <c r="W155" s="7"/>
      <c r="X155" s="35">
        <v>46271.058773576391</v>
      </c>
      <c r="Y155" s="31" t="s">
        <v>785</v>
      </c>
      <c r="Z155" s="47"/>
      <c r="AA155" s="4"/>
      <c r="AB155" s="7"/>
    </row>
    <row r="156" spans="1:28" ht="42" customHeight="1">
      <c r="A156" s="6" t="s">
        <v>1016</v>
      </c>
      <c r="B156" s="4" t="s">
        <v>1017</v>
      </c>
      <c r="C156" s="4" t="s">
        <v>1017</v>
      </c>
      <c r="D156" s="4" t="s">
        <v>777</v>
      </c>
      <c r="E156" s="4" t="s">
        <v>778</v>
      </c>
      <c r="F156" s="4" t="s">
        <v>34</v>
      </c>
      <c r="G156" s="4" t="s">
        <v>1018</v>
      </c>
      <c r="H156" s="4" t="s">
        <v>948</v>
      </c>
      <c r="I156" s="4" t="s">
        <v>780</v>
      </c>
      <c r="J156" s="7"/>
      <c r="K156" s="7" t="s">
        <v>1019</v>
      </c>
      <c r="L156" s="4" t="s">
        <v>782</v>
      </c>
      <c r="M156" s="4" t="s">
        <v>167</v>
      </c>
      <c r="N156" s="4" t="s">
        <v>250</v>
      </c>
      <c r="O156" s="4" t="s">
        <v>783</v>
      </c>
      <c r="P156" s="5">
        <v>46270.666666666664</v>
      </c>
      <c r="Q156" s="4" t="s">
        <v>1020</v>
      </c>
      <c r="R156" s="31" t="s">
        <v>31</v>
      </c>
      <c r="S156" s="33">
        <v>0</v>
      </c>
      <c r="T156" s="31" t="s">
        <v>94</v>
      </c>
      <c r="U156" s="33"/>
      <c r="V156" s="31" t="s">
        <v>110</v>
      </c>
      <c r="W156" s="7"/>
      <c r="X156" s="35">
        <v>46271.058773576391</v>
      </c>
      <c r="Y156" s="31" t="s">
        <v>785</v>
      </c>
      <c r="Z156" s="47"/>
      <c r="AA156" s="4"/>
      <c r="AB156" s="7"/>
    </row>
    <row r="157" spans="1:28" ht="42" customHeight="1">
      <c r="A157" s="6" t="s">
        <v>1021</v>
      </c>
      <c r="B157" s="4" t="s">
        <v>1022</v>
      </c>
      <c r="C157" s="4" t="s">
        <v>1022</v>
      </c>
      <c r="D157" s="4" t="s">
        <v>777</v>
      </c>
      <c r="E157" s="4" t="s">
        <v>778</v>
      </c>
      <c r="F157" s="4" t="s">
        <v>34</v>
      </c>
      <c r="G157" s="4" t="s">
        <v>1023</v>
      </c>
      <c r="H157" s="4" t="s">
        <v>1024</v>
      </c>
      <c r="I157" s="4" t="s">
        <v>780</v>
      </c>
      <c r="J157" s="7"/>
      <c r="K157" s="7" t="s">
        <v>1025</v>
      </c>
      <c r="L157" s="4" t="s">
        <v>782</v>
      </c>
      <c r="M157" s="4" t="s">
        <v>167</v>
      </c>
      <c r="N157" s="4" t="s">
        <v>250</v>
      </c>
      <c r="O157" s="4" t="s">
        <v>783</v>
      </c>
      <c r="P157" s="5">
        <v>46270.666666666664</v>
      </c>
      <c r="Q157" s="4" t="s">
        <v>1026</v>
      </c>
      <c r="R157" s="31" t="s">
        <v>31</v>
      </c>
      <c r="S157" s="33">
        <v>0</v>
      </c>
      <c r="T157" s="31" t="s">
        <v>94</v>
      </c>
      <c r="U157" s="33"/>
      <c r="V157" s="31" t="s">
        <v>110</v>
      </c>
      <c r="W157" s="7"/>
      <c r="X157" s="35">
        <v>46271.058773576391</v>
      </c>
      <c r="Y157" s="31" t="s">
        <v>785</v>
      </c>
      <c r="Z157" s="47"/>
      <c r="AA157" s="4"/>
      <c r="AB157" s="7"/>
    </row>
    <row r="158" spans="1:28" ht="42" customHeight="1">
      <c r="A158" s="6" t="s">
        <v>1027</v>
      </c>
      <c r="B158" s="4" t="s">
        <v>1028</v>
      </c>
      <c r="C158" s="4" t="s">
        <v>1028</v>
      </c>
      <c r="D158" s="4" t="s">
        <v>777</v>
      </c>
      <c r="E158" s="4" t="s">
        <v>778</v>
      </c>
      <c r="F158" s="4" t="s">
        <v>34</v>
      </c>
      <c r="G158" s="4" t="s">
        <v>1029</v>
      </c>
      <c r="H158" s="4" t="s">
        <v>788</v>
      </c>
      <c r="I158" s="4" t="s">
        <v>780</v>
      </c>
      <c r="J158" s="7"/>
      <c r="K158" s="7" t="s">
        <v>1030</v>
      </c>
      <c r="L158" s="4" t="s">
        <v>782</v>
      </c>
      <c r="M158" s="4" t="s">
        <v>167</v>
      </c>
      <c r="N158" s="4" t="s">
        <v>250</v>
      </c>
      <c r="O158" s="4" t="s">
        <v>783</v>
      </c>
      <c r="P158" s="5">
        <v>46270.666666666664</v>
      </c>
      <c r="Q158" s="4" t="s">
        <v>1031</v>
      </c>
      <c r="R158" s="31" t="s">
        <v>31</v>
      </c>
      <c r="S158" s="33">
        <v>0</v>
      </c>
      <c r="T158" s="31" t="s">
        <v>94</v>
      </c>
      <c r="U158" s="33"/>
      <c r="V158" s="31" t="s">
        <v>110</v>
      </c>
      <c r="W158" s="7"/>
      <c r="X158" s="35">
        <v>46271.058773576391</v>
      </c>
      <c r="Y158" s="31" t="s">
        <v>785</v>
      </c>
      <c r="Z158" s="47"/>
      <c r="AA158" s="4"/>
      <c r="AB158" s="7"/>
    </row>
    <row r="159" spans="1:28" ht="42" customHeight="1">
      <c r="A159" s="6" t="s">
        <v>1032</v>
      </c>
      <c r="B159" s="4" t="s">
        <v>1033</v>
      </c>
      <c r="C159" s="4" t="s">
        <v>1033</v>
      </c>
      <c r="D159" s="4" t="s">
        <v>777</v>
      </c>
      <c r="E159" s="4" t="s">
        <v>778</v>
      </c>
      <c r="F159" s="4" t="s">
        <v>34</v>
      </c>
      <c r="G159" s="4" t="s">
        <v>422</v>
      </c>
      <c r="H159" s="4" t="s">
        <v>1034</v>
      </c>
      <c r="I159" s="4" t="s">
        <v>780</v>
      </c>
      <c r="J159" s="7"/>
      <c r="K159" s="7" t="s">
        <v>1035</v>
      </c>
      <c r="L159" s="4" t="s">
        <v>782</v>
      </c>
      <c r="M159" s="4" t="s">
        <v>167</v>
      </c>
      <c r="N159" s="4" t="s">
        <v>250</v>
      </c>
      <c r="O159" s="4" t="s">
        <v>783</v>
      </c>
      <c r="P159" s="5">
        <v>46270.666666666664</v>
      </c>
      <c r="Q159" s="4" t="s">
        <v>1036</v>
      </c>
      <c r="R159" s="31" t="s">
        <v>31</v>
      </c>
      <c r="S159" s="33">
        <v>0</v>
      </c>
      <c r="T159" s="31" t="s">
        <v>94</v>
      </c>
      <c r="U159" s="33"/>
      <c r="V159" s="31" t="s">
        <v>110</v>
      </c>
      <c r="W159" s="7"/>
      <c r="X159" s="35">
        <v>46271.058773576391</v>
      </c>
      <c r="Y159" s="31" t="s">
        <v>785</v>
      </c>
      <c r="Z159" s="47"/>
      <c r="AA159" s="4"/>
      <c r="AB159" s="7"/>
    </row>
    <row r="160" spans="1:28" ht="42" customHeight="1">
      <c r="A160" s="6" t="s">
        <v>1037</v>
      </c>
      <c r="B160" s="4" t="s">
        <v>1038</v>
      </c>
      <c r="C160" s="4" t="s">
        <v>1038</v>
      </c>
      <c r="D160" s="4" t="s">
        <v>777</v>
      </c>
      <c r="E160" s="4" t="s">
        <v>778</v>
      </c>
      <c r="F160" s="4" t="s">
        <v>34</v>
      </c>
      <c r="G160" s="4" t="s">
        <v>414</v>
      </c>
      <c r="H160" s="4" t="s">
        <v>1024</v>
      </c>
      <c r="I160" s="4" t="s">
        <v>780</v>
      </c>
      <c r="J160" s="7"/>
      <c r="K160" s="7" t="s">
        <v>1039</v>
      </c>
      <c r="L160" s="4" t="s">
        <v>782</v>
      </c>
      <c r="M160" s="4" t="s">
        <v>167</v>
      </c>
      <c r="N160" s="4" t="s">
        <v>250</v>
      </c>
      <c r="O160" s="4" t="s">
        <v>783</v>
      </c>
      <c r="P160" s="5">
        <v>46270.666666666664</v>
      </c>
      <c r="Q160" s="4" t="s">
        <v>1040</v>
      </c>
      <c r="R160" s="31" t="s">
        <v>31</v>
      </c>
      <c r="S160" s="33">
        <v>0</v>
      </c>
      <c r="T160" s="31" t="s">
        <v>94</v>
      </c>
      <c r="U160" s="33"/>
      <c r="V160" s="31" t="s">
        <v>110</v>
      </c>
      <c r="W160" s="7"/>
      <c r="X160" s="35">
        <v>46271.058773576391</v>
      </c>
      <c r="Y160" s="31" t="s">
        <v>785</v>
      </c>
      <c r="Z160" s="47"/>
      <c r="AA160" s="4"/>
      <c r="AB160" s="7"/>
    </row>
    <row r="161" spans="1:28" ht="42" customHeight="1">
      <c r="A161" s="6" t="s">
        <v>1041</v>
      </c>
      <c r="B161" s="4" t="s">
        <v>1042</v>
      </c>
      <c r="C161" s="4" t="s">
        <v>1042</v>
      </c>
      <c r="D161" s="4" t="s">
        <v>777</v>
      </c>
      <c r="E161" s="4" t="s">
        <v>778</v>
      </c>
      <c r="F161" s="4" t="s">
        <v>34</v>
      </c>
      <c r="G161" s="4" t="s">
        <v>1043</v>
      </c>
      <c r="H161" s="4" t="s">
        <v>788</v>
      </c>
      <c r="I161" s="4" t="s">
        <v>780</v>
      </c>
      <c r="J161" s="7"/>
      <c r="K161" s="7" t="s">
        <v>1044</v>
      </c>
      <c r="L161" s="4" t="s">
        <v>782</v>
      </c>
      <c r="M161" s="4" t="s">
        <v>167</v>
      </c>
      <c r="N161" s="4" t="s">
        <v>250</v>
      </c>
      <c r="O161" s="4" t="s">
        <v>783</v>
      </c>
      <c r="P161" s="5">
        <v>46270.666666666664</v>
      </c>
      <c r="Q161" s="4" t="s">
        <v>1045</v>
      </c>
      <c r="R161" s="31" t="s">
        <v>31</v>
      </c>
      <c r="S161" s="33">
        <v>0</v>
      </c>
      <c r="T161" s="31" t="s">
        <v>94</v>
      </c>
      <c r="U161" s="33"/>
      <c r="V161" s="31" t="s">
        <v>110</v>
      </c>
      <c r="W161" s="7"/>
      <c r="X161" s="35">
        <v>46271.058773576391</v>
      </c>
      <c r="Y161" s="31" t="s">
        <v>785</v>
      </c>
      <c r="Z161" s="47"/>
      <c r="AA161" s="4"/>
      <c r="AB161" s="7"/>
    </row>
    <row r="162" spans="1:28" ht="42" customHeight="1">
      <c r="A162" s="6" t="s">
        <v>1046</v>
      </c>
      <c r="B162" s="4" t="s">
        <v>1047</v>
      </c>
      <c r="C162" s="4" t="s">
        <v>1047</v>
      </c>
      <c r="D162" s="4" t="s">
        <v>777</v>
      </c>
      <c r="E162" s="4" t="s">
        <v>778</v>
      </c>
      <c r="F162" s="4" t="s">
        <v>34</v>
      </c>
      <c r="G162" s="4" t="s">
        <v>1048</v>
      </c>
      <c r="H162" s="4" t="s">
        <v>1049</v>
      </c>
      <c r="I162" s="4" t="s">
        <v>780</v>
      </c>
      <c r="J162" s="7"/>
      <c r="K162" s="7" t="s">
        <v>1050</v>
      </c>
      <c r="L162" s="4" t="s">
        <v>782</v>
      </c>
      <c r="M162" s="4" t="s">
        <v>167</v>
      </c>
      <c r="N162" s="4" t="s">
        <v>250</v>
      </c>
      <c r="O162" s="4" t="s">
        <v>783</v>
      </c>
      <c r="P162" s="5">
        <v>46270.666666666664</v>
      </c>
      <c r="Q162" s="4" t="s">
        <v>1051</v>
      </c>
      <c r="R162" s="31" t="s">
        <v>31</v>
      </c>
      <c r="S162" s="33">
        <v>0</v>
      </c>
      <c r="T162" s="31" t="s">
        <v>94</v>
      </c>
      <c r="U162" s="33"/>
      <c r="V162" s="31" t="s">
        <v>110</v>
      </c>
      <c r="W162" s="7"/>
      <c r="X162" s="35">
        <v>46271.058773576391</v>
      </c>
      <c r="Y162" s="31" t="s">
        <v>785</v>
      </c>
      <c r="Z162" s="47"/>
      <c r="AA162" s="4"/>
      <c r="AB162" s="7"/>
    </row>
    <row r="163" spans="1:28" ht="42" customHeight="1">
      <c r="A163" s="6" t="s">
        <v>1052</v>
      </c>
      <c r="B163" s="4" t="s">
        <v>1053</v>
      </c>
      <c r="C163" s="4" t="s">
        <v>1053</v>
      </c>
      <c r="D163" s="4" t="s">
        <v>777</v>
      </c>
      <c r="E163" s="4" t="s">
        <v>778</v>
      </c>
      <c r="F163" s="4" t="s">
        <v>34</v>
      </c>
      <c r="G163" s="4" t="s">
        <v>1054</v>
      </c>
      <c r="H163" s="4" t="s">
        <v>948</v>
      </c>
      <c r="I163" s="4" t="s">
        <v>780</v>
      </c>
      <c r="J163" s="7"/>
      <c r="K163" s="7" t="s">
        <v>1055</v>
      </c>
      <c r="L163" s="4" t="s">
        <v>782</v>
      </c>
      <c r="M163" s="4" t="s">
        <v>167</v>
      </c>
      <c r="N163" s="4" t="s">
        <v>250</v>
      </c>
      <c r="O163" s="4" t="s">
        <v>783</v>
      </c>
      <c r="P163" s="5">
        <v>46270.666666666664</v>
      </c>
      <c r="Q163" s="4" t="s">
        <v>1056</v>
      </c>
      <c r="R163" s="31" t="s">
        <v>31</v>
      </c>
      <c r="S163" s="33">
        <v>0</v>
      </c>
      <c r="T163" s="31" t="s">
        <v>94</v>
      </c>
      <c r="U163" s="33"/>
      <c r="V163" s="31" t="s">
        <v>110</v>
      </c>
      <c r="W163" s="7"/>
      <c r="X163" s="35">
        <v>46271.058773576391</v>
      </c>
      <c r="Y163" s="31" t="s">
        <v>785</v>
      </c>
      <c r="Z163" s="47"/>
      <c r="AA163" s="4"/>
      <c r="AB163" s="7"/>
    </row>
    <row r="164" spans="1:28" ht="42" customHeight="1">
      <c r="A164" s="6" t="s">
        <v>1057</v>
      </c>
      <c r="B164" s="4" t="s">
        <v>1058</v>
      </c>
      <c r="C164" s="4" t="s">
        <v>1058</v>
      </c>
      <c r="D164" s="4" t="s">
        <v>777</v>
      </c>
      <c r="E164" s="4" t="s">
        <v>778</v>
      </c>
      <c r="F164" s="4" t="s">
        <v>34</v>
      </c>
      <c r="G164" s="4" t="s">
        <v>429</v>
      </c>
      <c r="H164" s="4" t="s">
        <v>877</v>
      </c>
      <c r="I164" s="4" t="s">
        <v>780</v>
      </c>
      <c r="J164" s="7"/>
      <c r="K164" s="7" t="s">
        <v>1059</v>
      </c>
      <c r="L164" s="4" t="s">
        <v>782</v>
      </c>
      <c r="M164" s="4" t="s">
        <v>167</v>
      </c>
      <c r="N164" s="4" t="s">
        <v>250</v>
      </c>
      <c r="O164" s="4" t="s">
        <v>783</v>
      </c>
      <c r="P164" s="5">
        <v>46270.666666666664</v>
      </c>
      <c r="Q164" s="4" t="s">
        <v>1060</v>
      </c>
      <c r="R164" s="31" t="s">
        <v>31</v>
      </c>
      <c r="S164" s="33">
        <v>0</v>
      </c>
      <c r="T164" s="31" t="s">
        <v>94</v>
      </c>
      <c r="U164" s="33"/>
      <c r="V164" s="31" t="s">
        <v>110</v>
      </c>
      <c r="W164" s="7"/>
      <c r="X164" s="35">
        <v>46271.058773576391</v>
      </c>
      <c r="Y164" s="31" t="s">
        <v>785</v>
      </c>
      <c r="Z164" s="47"/>
      <c r="AA164" s="4"/>
      <c r="AB164" s="7"/>
    </row>
    <row r="165" spans="1:28" ht="42" customHeight="1">
      <c r="A165" s="6" t="s">
        <v>1061</v>
      </c>
      <c r="B165" s="4" t="s">
        <v>418</v>
      </c>
      <c r="C165" s="4" t="s">
        <v>418</v>
      </c>
      <c r="D165" s="4" t="s">
        <v>777</v>
      </c>
      <c r="E165" s="4" t="s">
        <v>778</v>
      </c>
      <c r="F165" s="4" t="s">
        <v>34</v>
      </c>
      <c r="G165" s="4" t="s">
        <v>414</v>
      </c>
      <c r="H165" s="4" t="s">
        <v>992</v>
      </c>
      <c r="I165" s="4" t="s">
        <v>780</v>
      </c>
      <c r="J165" s="7"/>
      <c r="K165" s="7" t="s">
        <v>1062</v>
      </c>
      <c r="L165" s="4" t="s">
        <v>782</v>
      </c>
      <c r="M165" s="4" t="s">
        <v>167</v>
      </c>
      <c r="N165" s="4" t="s">
        <v>250</v>
      </c>
      <c r="O165" s="4" t="s">
        <v>783</v>
      </c>
      <c r="P165" s="5">
        <v>46270.666666666664</v>
      </c>
      <c r="Q165" s="4" t="s">
        <v>1063</v>
      </c>
      <c r="R165" s="31" t="s">
        <v>31</v>
      </c>
      <c r="S165" s="33">
        <v>0</v>
      </c>
      <c r="T165" s="31" t="s">
        <v>94</v>
      </c>
      <c r="U165" s="33"/>
      <c r="V165" s="31" t="s">
        <v>110</v>
      </c>
      <c r="W165" s="7"/>
      <c r="X165" s="35">
        <v>46271.058773576391</v>
      </c>
      <c r="Y165" s="31" t="s">
        <v>785</v>
      </c>
      <c r="Z165" s="47"/>
      <c r="AA165" s="4"/>
      <c r="AB165" s="7"/>
    </row>
    <row r="166" spans="1:28" ht="42" customHeight="1">
      <c r="A166" s="6" t="s">
        <v>1064</v>
      </c>
      <c r="B166" s="4" t="s">
        <v>1065</v>
      </c>
      <c r="C166" s="4" t="s">
        <v>1065</v>
      </c>
      <c r="D166" s="4" t="s">
        <v>777</v>
      </c>
      <c r="E166" s="4" t="s">
        <v>778</v>
      </c>
      <c r="F166" s="4" t="s">
        <v>34</v>
      </c>
      <c r="G166" s="4" t="s">
        <v>422</v>
      </c>
      <c r="H166" s="4" t="s">
        <v>181</v>
      </c>
      <c r="I166" s="4" t="s">
        <v>780</v>
      </c>
      <c r="J166" s="7"/>
      <c r="K166" s="7" t="s">
        <v>1066</v>
      </c>
      <c r="L166" s="4" t="s">
        <v>782</v>
      </c>
      <c r="M166" s="4" t="s">
        <v>167</v>
      </c>
      <c r="N166" s="4" t="s">
        <v>250</v>
      </c>
      <c r="O166" s="4" t="s">
        <v>783</v>
      </c>
      <c r="P166" s="5">
        <v>46270.666666666664</v>
      </c>
      <c r="Q166" s="4" t="s">
        <v>1067</v>
      </c>
      <c r="R166" s="31" t="s">
        <v>31</v>
      </c>
      <c r="S166" s="33">
        <v>0</v>
      </c>
      <c r="T166" s="31" t="s">
        <v>94</v>
      </c>
      <c r="U166" s="33"/>
      <c r="V166" s="31" t="s">
        <v>110</v>
      </c>
      <c r="W166" s="7"/>
      <c r="X166" s="35">
        <v>46271.05877358796</v>
      </c>
      <c r="Y166" s="31" t="s">
        <v>785</v>
      </c>
      <c r="Z166" s="47"/>
      <c r="AA166" s="4"/>
      <c r="AB166" s="7"/>
    </row>
    <row r="167" spans="1:28" ht="42" customHeight="1">
      <c r="A167" s="6" t="s">
        <v>1068</v>
      </c>
      <c r="B167" s="4" t="s">
        <v>1069</v>
      </c>
      <c r="C167" s="4" t="s">
        <v>1069</v>
      </c>
      <c r="D167" s="4" t="s">
        <v>777</v>
      </c>
      <c r="E167" s="4" t="s">
        <v>778</v>
      </c>
      <c r="F167" s="4" t="s">
        <v>36</v>
      </c>
      <c r="G167" s="4" t="s">
        <v>1070</v>
      </c>
      <c r="H167" s="4" t="s">
        <v>948</v>
      </c>
      <c r="I167" s="4" t="s">
        <v>780</v>
      </c>
      <c r="J167" s="7"/>
      <c r="K167" s="7" t="s">
        <v>1071</v>
      </c>
      <c r="L167" s="4" t="s">
        <v>782</v>
      </c>
      <c r="M167" s="4" t="s">
        <v>167</v>
      </c>
      <c r="N167" s="4" t="s">
        <v>250</v>
      </c>
      <c r="O167" s="4" t="s">
        <v>783</v>
      </c>
      <c r="P167" s="5">
        <v>46270.666666666664</v>
      </c>
      <c r="Q167" s="4" t="s">
        <v>1072</v>
      </c>
      <c r="R167" s="31" t="s">
        <v>31</v>
      </c>
      <c r="S167" s="33">
        <v>0</v>
      </c>
      <c r="T167" s="31" t="s">
        <v>94</v>
      </c>
      <c r="U167" s="33"/>
      <c r="V167" s="31" t="s">
        <v>110</v>
      </c>
      <c r="W167" s="7"/>
      <c r="X167" s="35">
        <v>46271.05877358796</v>
      </c>
      <c r="Y167" s="31" t="s">
        <v>785</v>
      </c>
      <c r="Z167" s="47"/>
      <c r="AA167" s="4"/>
      <c r="AB167" s="7"/>
    </row>
    <row r="168" spans="1:28" ht="42" customHeight="1">
      <c r="A168" s="6" t="s">
        <v>1073</v>
      </c>
      <c r="B168" s="4" t="s">
        <v>1074</v>
      </c>
      <c r="C168" s="4" t="s">
        <v>1074</v>
      </c>
      <c r="D168" s="4" t="s">
        <v>777</v>
      </c>
      <c r="E168" s="4" t="s">
        <v>778</v>
      </c>
      <c r="F168" s="4" t="s">
        <v>36</v>
      </c>
      <c r="G168" s="4" t="s">
        <v>1075</v>
      </c>
      <c r="H168" s="4" t="s">
        <v>788</v>
      </c>
      <c r="I168" s="4" t="s">
        <v>780</v>
      </c>
      <c r="J168" s="7"/>
      <c r="K168" s="7" t="s">
        <v>1076</v>
      </c>
      <c r="L168" s="4" t="s">
        <v>782</v>
      </c>
      <c r="M168" s="4" t="s">
        <v>167</v>
      </c>
      <c r="N168" s="4" t="s">
        <v>250</v>
      </c>
      <c r="O168" s="4" t="s">
        <v>783</v>
      </c>
      <c r="P168" s="5">
        <v>46270.666666666664</v>
      </c>
      <c r="Q168" s="4" t="s">
        <v>1077</v>
      </c>
      <c r="R168" s="31" t="s">
        <v>31</v>
      </c>
      <c r="S168" s="33">
        <v>0</v>
      </c>
      <c r="T168" s="31" t="s">
        <v>94</v>
      </c>
      <c r="U168" s="33"/>
      <c r="V168" s="31" t="s">
        <v>110</v>
      </c>
      <c r="W168" s="7"/>
      <c r="X168" s="35">
        <v>46271.05877358796</v>
      </c>
      <c r="Y168" s="31" t="s">
        <v>785</v>
      </c>
      <c r="Z168" s="47"/>
      <c r="AA168" s="4"/>
      <c r="AB168" s="7"/>
    </row>
    <row r="169" spans="1:28" ht="42" customHeight="1">
      <c r="A169" s="6" t="s">
        <v>1078</v>
      </c>
      <c r="B169" s="4" t="s">
        <v>1079</v>
      </c>
      <c r="C169" s="4" t="s">
        <v>1079</v>
      </c>
      <c r="D169" s="4" t="s">
        <v>777</v>
      </c>
      <c r="E169" s="4" t="s">
        <v>778</v>
      </c>
      <c r="F169" s="4" t="s">
        <v>36</v>
      </c>
      <c r="G169" s="4" t="s">
        <v>1080</v>
      </c>
      <c r="H169" s="4" t="s">
        <v>948</v>
      </c>
      <c r="I169" s="4" t="s">
        <v>780</v>
      </c>
      <c r="J169" s="7"/>
      <c r="K169" s="7" t="s">
        <v>1081</v>
      </c>
      <c r="L169" s="4" t="s">
        <v>782</v>
      </c>
      <c r="M169" s="4" t="s">
        <v>167</v>
      </c>
      <c r="N169" s="4" t="s">
        <v>250</v>
      </c>
      <c r="O169" s="4" t="s">
        <v>783</v>
      </c>
      <c r="P169" s="5">
        <v>46270.666666666664</v>
      </c>
      <c r="Q169" s="4" t="s">
        <v>1082</v>
      </c>
      <c r="R169" s="31" t="s">
        <v>31</v>
      </c>
      <c r="S169" s="33">
        <v>0</v>
      </c>
      <c r="T169" s="31" t="s">
        <v>94</v>
      </c>
      <c r="U169" s="33"/>
      <c r="V169" s="31" t="s">
        <v>110</v>
      </c>
      <c r="W169" s="7"/>
      <c r="X169" s="35">
        <v>46271.05877358796</v>
      </c>
      <c r="Y169" s="31" t="s">
        <v>785</v>
      </c>
      <c r="Z169" s="47"/>
      <c r="AA169" s="4"/>
      <c r="AB169" s="7"/>
    </row>
    <row r="170" spans="1:28" ht="42" customHeight="1">
      <c r="A170" s="6" t="s">
        <v>1083</v>
      </c>
      <c r="B170" s="4" t="s">
        <v>1084</v>
      </c>
      <c r="C170" s="4" t="s">
        <v>1084</v>
      </c>
      <c r="D170" s="4" t="s">
        <v>777</v>
      </c>
      <c r="E170" s="4" t="s">
        <v>778</v>
      </c>
      <c r="F170" s="4" t="s">
        <v>36</v>
      </c>
      <c r="G170" s="4" t="s">
        <v>1085</v>
      </c>
      <c r="H170" s="4" t="s">
        <v>948</v>
      </c>
      <c r="I170" s="4" t="s">
        <v>780</v>
      </c>
      <c r="J170" s="7"/>
      <c r="K170" s="7" t="s">
        <v>1086</v>
      </c>
      <c r="L170" s="4" t="s">
        <v>782</v>
      </c>
      <c r="M170" s="4" t="s">
        <v>167</v>
      </c>
      <c r="N170" s="4" t="s">
        <v>250</v>
      </c>
      <c r="O170" s="4" t="s">
        <v>783</v>
      </c>
      <c r="P170" s="5">
        <v>46270.666666666664</v>
      </c>
      <c r="Q170" s="4" t="s">
        <v>1087</v>
      </c>
      <c r="R170" s="31" t="s">
        <v>31</v>
      </c>
      <c r="S170" s="33">
        <v>0</v>
      </c>
      <c r="T170" s="31" t="s">
        <v>94</v>
      </c>
      <c r="U170" s="33"/>
      <c r="V170" s="31" t="s">
        <v>110</v>
      </c>
      <c r="W170" s="7"/>
      <c r="X170" s="35">
        <v>46271.05877358796</v>
      </c>
      <c r="Y170" s="31" t="s">
        <v>785</v>
      </c>
      <c r="Z170" s="47"/>
      <c r="AA170" s="4"/>
      <c r="AB170" s="7"/>
    </row>
    <row r="171" spans="1:28" ht="42" customHeight="1">
      <c r="A171" s="6" t="s">
        <v>1088</v>
      </c>
      <c r="B171" s="4" t="s">
        <v>1089</v>
      </c>
      <c r="C171" s="4" t="s">
        <v>1089</v>
      </c>
      <c r="D171" s="4" t="s">
        <v>777</v>
      </c>
      <c r="E171" s="4" t="s">
        <v>778</v>
      </c>
      <c r="F171" s="4" t="s">
        <v>36</v>
      </c>
      <c r="G171" s="4" t="s">
        <v>1080</v>
      </c>
      <c r="H171" s="4" t="s">
        <v>788</v>
      </c>
      <c r="I171" s="4" t="s">
        <v>780</v>
      </c>
      <c r="J171" s="7"/>
      <c r="K171" s="7" t="s">
        <v>1090</v>
      </c>
      <c r="L171" s="4" t="s">
        <v>782</v>
      </c>
      <c r="M171" s="4" t="s">
        <v>167</v>
      </c>
      <c r="N171" s="4" t="s">
        <v>250</v>
      </c>
      <c r="O171" s="4" t="s">
        <v>783</v>
      </c>
      <c r="P171" s="5">
        <v>46270.666666666664</v>
      </c>
      <c r="Q171" s="4" t="s">
        <v>1091</v>
      </c>
      <c r="R171" s="31" t="s">
        <v>31</v>
      </c>
      <c r="S171" s="33">
        <v>0</v>
      </c>
      <c r="T171" s="31" t="s">
        <v>94</v>
      </c>
      <c r="U171" s="33"/>
      <c r="V171" s="31" t="s">
        <v>110</v>
      </c>
      <c r="W171" s="7"/>
      <c r="X171" s="35">
        <v>46271.05877358796</v>
      </c>
      <c r="Y171" s="31" t="s">
        <v>785</v>
      </c>
      <c r="Z171" s="47"/>
      <c r="AA171" s="4"/>
      <c r="AB171" s="7"/>
    </row>
    <row r="172" spans="1:28" ht="42" customHeight="1">
      <c r="A172" s="6" t="s">
        <v>1092</v>
      </c>
      <c r="B172" s="4" t="s">
        <v>1093</v>
      </c>
      <c r="C172" s="4" t="s">
        <v>1093</v>
      </c>
      <c r="D172" s="4" t="s">
        <v>777</v>
      </c>
      <c r="E172" s="4" t="s">
        <v>778</v>
      </c>
      <c r="F172" s="4" t="s">
        <v>36</v>
      </c>
      <c r="G172" s="4" t="s">
        <v>1080</v>
      </c>
      <c r="H172" s="4" t="s">
        <v>476</v>
      </c>
      <c r="I172" s="4" t="s">
        <v>780</v>
      </c>
      <c r="J172" s="7"/>
      <c r="K172" s="7" t="s">
        <v>1094</v>
      </c>
      <c r="L172" s="4" t="s">
        <v>782</v>
      </c>
      <c r="M172" s="4" t="s">
        <v>167</v>
      </c>
      <c r="N172" s="4" t="s">
        <v>250</v>
      </c>
      <c r="O172" s="4" t="s">
        <v>783</v>
      </c>
      <c r="P172" s="5">
        <v>46270.666666666664</v>
      </c>
      <c r="Q172" s="4" t="s">
        <v>1095</v>
      </c>
      <c r="R172" s="31" t="s">
        <v>31</v>
      </c>
      <c r="S172" s="33">
        <v>0</v>
      </c>
      <c r="T172" s="31" t="s">
        <v>94</v>
      </c>
      <c r="U172" s="33"/>
      <c r="V172" s="31" t="s">
        <v>110</v>
      </c>
      <c r="W172" s="7"/>
      <c r="X172" s="35">
        <v>46271.05877358796</v>
      </c>
      <c r="Y172" s="31" t="s">
        <v>785</v>
      </c>
      <c r="Z172" s="47"/>
      <c r="AA172" s="4"/>
      <c r="AB172" s="7"/>
    </row>
    <row r="173" spans="1:28" ht="42" customHeight="1">
      <c r="A173" s="6" t="s">
        <v>1096</v>
      </c>
      <c r="B173" s="4" t="s">
        <v>1097</v>
      </c>
      <c r="C173" s="4" t="s">
        <v>1097</v>
      </c>
      <c r="D173" s="4" t="s">
        <v>777</v>
      </c>
      <c r="E173" s="4" t="s">
        <v>778</v>
      </c>
      <c r="F173" s="4" t="s">
        <v>36</v>
      </c>
      <c r="G173" s="4" t="s">
        <v>1080</v>
      </c>
      <c r="H173" s="4" t="s">
        <v>181</v>
      </c>
      <c r="I173" s="4" t="s">
        <v>780</v>
      </c>
      <c r="J173" s="7"/>
      <c r="K173" s="7" t="s">
        <v>1098</v>
      </c>
      <c r="L173" s="4" t="s">
        <v>782</v>
      </c>
      <c r="M173" s="4" t="s">
        <v>167</v>
      </c>
      <c r="N173" s="4" t="s">
        <v>250</v>
      </c>
      <c r="O173" s="4" t="s">
        <v>783</v>
      </c>
      <c r="P173" s="5">
        <v>46270.666666666664</v>
      </c>
      <c r="Q173" s="4" t="s">
        <v>1099</v>
      </c>
      <c r="R173" s="31" t="s">
        <v>31</v>
      </c>
      <c r="S173" s="33">
        <v>0</v>
      </c>
      <c r="T173" s="31" t="s">
        <v>94</v>
      </c>
      <c r="U173" s="33"/>
      <c r="V173" s="31" t="s">
        <v>110</v>
      </c>
      <c r="W173" s="7"/>
      <c r="X173" s="35">
        <v>46271.05877358796</v>
      </c>
      <c r="Y173" s="31" t="s">
        <v>785</v>
      </c>
      <c r="Z173" s="47"/>
      <c r="AA173" s="4"/>
      <c r="AB173" s="7"/>
    </row>
    <row r="174" spans="1:28" ht="42" customHeight="1">
      <c r="A174" s="6" t="s">
        <v>1100</v>
      </c>
      <c r="B174" s="4" t="s">
        <v>1101</v>
      </c>
      <c r="C174" s="4" t="s">
        <v>1101</v>
      </c>
      <c r="D174" s="4" t="s">
        <v>777</v>
      </c>
      <c r="E174" s="4" t="s">
        <v>778</v>
      </c>
      <c r="F174" s="4" t="s">
        <v>36</v>
      </c>
      <c r="G174" s="4" t="s">
        <v>1080</v>
      </c>
      <c r="H174" s="4" t="s">
        <v>788</v>
      </c>
      <c r="I174" s="4" t="s">
        <v>780</v>
      </c>
      <c r="J174" s="7"/>
      <c r="K174" s="7" t="s">
        <v>1102</v>
      </c>
      <c r="L174" s="4" t="s">
        <v>782</v>
      </c>
      <c r="M174" s="4" t="s">
        <v>167</v>
      </c>
      <c r="N174" s="4" t="s">
        <v>250</v>
      </c>
      <c r="O174" s="4" t="s">
        <v>783</v>
      </c>
      <c r="P174" s="5">
        <v>46270.666666666664</v>
      </c>
      <c r="Q174" s="4" t="s">
        <v>1103</v>
      </c>
      <c r="R174" s="31" t="s">
        <v>31</v>
      </c>
      <c r="S174" s="33">
        <v>0</v>
      </c>
      <c r="T174" s="31" t="s">
        <v>94</v>
      </c>
      <c r="U174" s="33"/>
      <c r="V174" s="31" t="s">
        <v>110</v>
      </c>
      <c r="W174" s="7"/>
      <c r="X174" s="35">
        <v>46271.05877358796</v>
      </c>
      <c r="Y174" s="31" t="s">
        <v>785</v>
      </c>
      <c r="Z174" s="47"/>
      <c r="AA174" s="4"/>
      <c r="AB174" s="7"/>
    </row>
    <row r="175" spans="1:28" ht="42" customHeight="1">
      <c r="A175" s="6" t="s">
        <v>1104</v>
      </c>
      <c r="B175" s="4" t="s">
        <v>1105</v>
      </c>
      <c r="C175" s="4" t="s">
        <v>1105</v>
      </c>
      <c r="D175" s="4" t="s">
        <v>777</v>
      </c>
      <c r="E175" s="4" t="s">
        <v>778</v>
      </c>
      <c r="F175" s="4" t="s">
        <v>36</v>
      </c>
      <c r="G175" s="4" t="s">
        <v>1080</v>
      </c>
      <c r="H175" s="4" t="s">
        <v>788</v>
      </c>
      <c r="I175" s="4" t="s">
        <v>780</v>
      </c>
      <c r="J175" s="7"/>
      <c r="K175" s="7" t="s">
        <v>1106</v>
      </c>
      <c r="L175" s="4" t="s">
        <v>782</v>
      </c>
      <c r="M175" s="4" t="s">
        <v>167</v>
      </c>
      <c r="N175" s="4" t="s">
        <v>250</v>
      </c>
      <c r="O175" s="4" t="s">
        <v>783</v>
      </c>
      <c r="P175" s="5">
        <v>46270.666666666664</v>
      </c>
      <c r="Q175" s="4" t="s">
        <v>1107</v>
      </c>
      <c r="R175" s="31" t="s">
        <v>31</v>
      </c>
      <c r="S175" s="33">
        <v>0</v>
      </c>
      <c r="T175" s="31" t="s">
        <v>94</v>
      </c>
      <c r="U175" s="33"/>
      <c r="V175" s="31" t="s">
        <v>110</v>
      </c>
      <c r="W175" s="7"/>
      <c r="X175" s="35">
        <v>46271.05877358796</v>
      </c>
      <c r="Y175" s="31" t="s">
        <v>785</v>
      </c>
      <c r="Z175" s="47"/>
      <c r="AA175" s="4"/>
      <c r="AB175" s="7"/>
    </row>
    <row r="176" spans="1:28" ht="42" customHeight="1">
      <c r="A176" s="6" t="s">
        <v>1108</v>
      </c>
      <c r="B176" s="4" t="s">
        <v>1109</v>
      </c>
      <c r="C176" s="4" t="s">
        <v>1109</v>
      </c>
      <c r="D176" s="4" t="s">
        <v>777</v>
      </c>
      <c r="E176" s="4" t="s">
        <v>778</v>
      </c>
      <c r="F176" s="4" t="s">
        <v>36</v>
      </c>
      <c r="G176" s="4" t="s">
        <v>1080</v>
      </c>
      <c r="H176" s="4" t="s">
        <v>788</v>
      </c>
      <c r="I176" s="4" t="s">
        <v>780</v>
      </c>
      <c r="J176" s="7"/>
      <c r="K176" s="7" t="s">
        <v>1110</v>
      </c>
      <c r="L176" s="4" t="s">
        <v>782</v>
      </c>
      <c r="M176" s="4" t="s">
        <v>167</v>
      </c>
      <c r="N176" s="4" t="s">
        <v>250</v>
      </c>
      <c r="O176" s="4" t="s">
        <v>783</v>
      </c>
      <c r="P176" s="5">
        <v>46270.666666666664</v>
      </c>
      <c r="Q176" s="4" t="s">
        <v>1111</v>
      </c>
      <c r="R176" s="31" t="s">
        <v>31</v>
      </c>
      <c r="S176" s="33">
        <v>0</v>
      </c>
      <c r="T176" s="31" t="s">
        <v>94</v>
      </c>
      <c r="U176" s="33"/>
      <c r="V176" s="31" t="s">
        <v>110</v>
      </c>
      <c r="W176" s="7"/>
      <c r="X176" s="35">
        <v>46271.05877358796</v>
      </c>
      <c r="Y176" s="31" t="s">
        <v>785</v>
      </c>
      <c r="Z176" s="47"/>
      <c r="AA176" s="4"/>
      <c r="AB176" s="7"/>
    </row>
    <row r="177" spans="1:28" ht="42" customHeight="1">
      <c r="A177" s="6" t="s">
        <v>1112</v>
      </c>
      <c r="B177" s="4" t="s">
        <v>1113</v>
      </c>
      <c r="C177" s="4" t="s">
        <v>1113</v>
      </c>
      <c r="D177" s="4" t="s">
        <v>777</v>
      </c>
      <c r="E177" s="4" t="s">
        <v>778</v>
      </c>
      <c r="F177" s="4" t="s">
        <v>36</v>
      </c>
      <c r="G177" s="4" t="s">
        <v>1080</v>
      </c>
      <c r="H177" s="4" t="s">
        <v>1034</v>
      </c>
      <c r="I177" s="4" t="s">
        <v>780</v>
      </c>
      <c r="J177" s="7"/>
      <c r="K177" s="7" t="s">
        <v>1114</v>
      </c>
      <c r="L177" s="4" t="s">
        <v>782</v>
      </c>
      <c r="M177" s="4" t="s">
        <v>167</v>
      </c>
      <c r="N177" s="4" t="s">
        <v>250</v>
      </c>
      <c r="O177" s="4" t="s">
        <v>783</v>
      </c>
      <c r="P177" s="5">
        <v>46270.666666666664</v>
      </c>
      <c r="Q177" s="4" t="s">
        <v>1115</v>
      </c>
      <c r="R177" s="31" t="s">
        <v>31</v>
      </c>
      <c r="S177" s="33">
        <v>0</v>
      </c>
      <c r="T177" s="31" t="s">
        <v>94</v>
      </c>
      <c r="U177" s="33"/>
      <c r="V177" s="31" t="s">
        <v>110</v>
      </c>
      <c r="W177" s="7"/>
      <c r="X177" s="35">
        <v>46271.05877358796</v>
      </c>
      <c r="Y177" s="31" t="s">
        <v>785</v>
      </c>
      <c r="Z177" s="47"/>
      <c r="AA177" s="4"/>
      <c r="AB177" s="7"/>
    </row>
    <row r="178" spans="1:28" ht="42" customHeight="1">
      <c r="A178" s="6" t="s">
        <v>1116</v>
      </c>
      <c r="B178" s="4" t="s">
        <v>1117</v>
      </c>
      <c r="C178" s="4" t="s">
        <v>1117</v>
      </c>
      <c r="D178" s="4" t="s">
        <v>777</v>
      </c>
      <c r="E178" s="4" t="s">
        <v>778</v>
      </c>
      <c r="F178" s="4" t="s">
        <v>36</v>
      </c>
      <c r="G178" s="4"/>
      <c r="H178" s="4" t="s">
        <v>1034</v>
      </c>
      <c r="I178" s="4" t="s">
        <v>780</v>
      </c>
      <c r="J178" s="7"/>
      <c r="K178" s="7" t="s">
        <v>1118</v>
      </c>
      <c r="L178" s="4" t="s">
        <v>782</v>
      </c>
      <c r="M178" s="4" t="s">
        <v>167</v>
      </c>
      <c r="N178" s="4" t="s">
        <v>250</v>
      </c>
      <c r="O178" s="4" t="s">
        <v>783</v>
      </c>
      <c r="P178" s="5">
        <v>46270.666666666664</v>
      </c>
      <c r="Q178" s="4" t="s">
        <v>1119</v>
      </c>
      <c r="R178" s="31" t="s">
        <v>31</v>
      </c>
      <c r="S178" s="33">
        <v>0</v>
      </c>
      <c r="T178" s="31" t="s">
        <v>94</v>
      </c>
      <c r="U178" s="33"/>
      <c r="V178" s="31" t="s">
        <v>110</v>
      </c>
      <c r="W178" s="7"/>
      <c r="X178" s="35">
        <v>46271.05877358796</v>
      </c>
      <c r="Y178" s="31" t="s">
        <v>785</v>
      </c>
      <c r="Z178" s="47"/>
      <c r="AA178" s="4"/>
      <c r="AB178" s="7"/>
    </row>
    <row r="179" spans="1:28" ht="42" customHeight="1">
      <c r="A179" s="6" t="s">
        <v>1120</v>
      </c>
      <c r="B179" s="4" t="s">
        <v>1121</v>
      </c>
      <c r="C179" s="4" t="s">
        <v>1121</v>
      </c>
      <c r="D179" s="4" t="s">
        <v>777</v>
      </c>
      <c r="E179" s="4" t="s">
        <v>778</v>
      </c>
      <c r="F179" s="4" t="s">
        <v>36</v>
      </c>
      <c r="G179" s="4" t="s">
        <v>1122</v>
      </c>
      <c r="H179" s="4" t="s">
        <v>948</v>
      </c>
      <c r="I179" s="4" t="s">
        <v>780</v>
      </c>
      <c r="J179" s="7"/>
      <c r="K179" s="7" t="s">
        <v>1123</v>
      </c>
      <c r="L179" s="4" t="s">
        <v>782</v>
      </c>
      <c r="M179" s="4" t="s">
        <v>167</v>
      </c>
      <c r="N179" s="4" t="s">
        <v>250</v>
      </c>
      <c r="O179" s="4" t="s">
        <v>783</v>
      </c>
      <c r="P179" s="5">
        <v>46270.666666666664</v>
      </c>
      <c r="Q179" s="4" t="s">
        <v>1124</v>
      </c>
      <c r="R179" s="31" t="s">
        <v>31</v>
      </c>
      <c r="S179" s="33">
        <v>0</v>
      </c>
      <c r="T179" s="31" t="s">
        <v>94</v>
      </c>
      <c r="U179" s="33"/>
      <c r="V179" s="31" t="s">
        <v>110</v>
      </c>
      <c r="W179" s="7"/>
      <c r="X179" s="35">
        <v>46271.05877358796</v>
      </c>
      <c r="Y179" s="31" t="s">
        <v>785</v>
      </c>
      <c r="Z179" s="47"/>
      <c r="AA179" s="4"/>
      <c r="AB179" s="7"/>
    </row>
    <row r="180" spans="1:28" ht="42" customHeight="1">
      <c r="A180" s="6" t="s">
        <v>1125</v>
      </c>
      <c r="B180" s="4" t="s">
        <v>1126</v>
      </c>
      <c r="C180" s="4" t="s">
        <v>1126</v>
      </c>
      <c r="D180" s="4" t="s">
        <v>777</v>
      </c>
      <c r="E180" s="4" t="s">
        <v>778</v>
      </c>
      <c r="F180" s="4" t="s">
        <v>36</v>
      </c>
      <c r="G180" s="4" t="s">
        <v>1080</v>
      </c>
      <c r="H180" s="4" t="s">
        <v>476</v>
      </c>
      <c r="I180" s="4" t="s">
        <v>780</v>
      </c>
      <c r="J180" s="7"/>
      <c r="K180" s="7" t="s">
        <v>1127</v>
      </c>
      <c r="L180" s="4" t="s">
        <v>782</v>
      </c>
      <c r="M180" s="4" t="s">
        <v>167</v>
      </c>
      <c r="N180" s="4" t="s">
        <v>250</v>
      </c>
      <c r="O180" s="4" t="s">
        <v>783</v>
      </c>
      <c r="P180" s="5">
        <v>46270.666666666664</v>
      </c>
      <c r="Q180" s="4" t="s">
        <v>1128</v>
      </c>
      <c r="R180" s="31" t="s">
        <v>31</v>
      </c>
      <c r="S180" s="33">
        <v>0</v>
      </c>
      <c r="T180" s="31" t="s">
        <v>94</v>
      </c>
      <c r="U180" s="33"/>
      <c r="V180" s="31" t="s">
        <v>110</v>
      </c>
      <c r="W180" s="7"/>
      <c r="X180" s="35">
        <v>46271.05877358796</v>
      </c>
      <c r="Y180" s="31" t="s">
        <v>785</v>
      </c>
      <c r="Z180" s="47"/>
      <c r="AA180" s="4"/>
      <c r="AB180" s="7"/>
    </row>
    <row r="181" spans="1:28" ht="42" customHeight="1">
      <c r="A181" s="6" t="s">
        <v>1129</v>
      </c>
      <c r="B181" s="4" t="s">
        <v>1130</v>
      </c>
      <c r="C181" s="4" t="s">
        <v>1130</v>
      </c>
      <c r="D181" s="4" t="s">
        <v>777</v>
      </c>
      <c r="E181" s="4" t="s">
        <v>778</v>
      </c>
      <c r="F181" s="4" t="s">
        <v>36</v>
      </c>
      <c r="G181" s="4" t="s">
        <v>1131</v>
      </c>
      <c r="H181" s="4" t="s">
        <v>948</v>
      </c>
      <c r="I181" s="4" t="s">
        <v>780</v>
      </c>
      <c r="J181" s="7"/>
      <c r="K181" s="7" t="s">
        <v>1132</v>
      </c>
      <c r="L181" s="4" t="s">
        <v>782</v>
      </c>
      <c r="M181" s="4" t="s">
        <v>167</v>
      </c>
      <c r="N181" s="4" t="s">
        <v>250</v>
      </c>
      <c r="O181" s="4" t="s">
        <v>783</v>
      </c>
      <c r="P181" s="5">
        <v>46270.666666666664</v>
      </c>
      <c r="Q181" s="4" t="s">
        <v>1133</v>
      </c>
      <c r="R181" s="31" t="s">
        <v>31</v>
      </c>
      <c r="S181" s="33">
        <v>0</v>
      </c>
      <c r="T181" s="31" t="s">
        <v>94</v>
      </c>
      <c r="U181" s="33"/>
      <c r="V181" s="31" t="s">
        <v>110</v>
      </c>
      <c r="W181" s="7"/>
      <c r="X181" s="35">
        <v>46271.05877358796</v>
      </c>
      <c r="Y181" s="31" t="s">
        <v>785</v>
      </c>
      <c r="Z181" s="47"/>
      <c r="AA181" s="4"/>
      <c r="AB181" s="7"/>
    </row>
    <row r="182" spans="1:28" ht="42" customHeight="1">
      <c r="A182" s="6" t="s">
        <v>1134</v>
      </c>
      <c r="B182" s="4" t="s">
        <v>1135</v>
      </c>
      <c r="C182" s="4" t="s">
        <v>1135</v>
      </c>
      <c r="D182" s="4" t="s">
        <v>777</v>
      </c>
      <c r="E182" s="4" t="s">
        <v>778</v>
      </c>
      <c r="F182" s="4" t="s">
        <v>36</v>
      </c>
      <c r="G182" s="4" t="s">
        <v>1136</v>
      </c>
      <c r="H182" s="4" t="s">
        <v>948</v>
      </c>
      <c r="I182" s="4" t="s">
        <v>780</v>
      </c>
      <c r="J182" s="7"/>
      <c r="K182" s="7" t="s">
        <v>1137</v>
      </c>
      <c r="L182" s="4" t="s">
        <v>782</v>
      </c>
      <c r="M182" s="4" t="s">
        <v>167</v>
      </c>
      <c r="N182" s="4" t="s">
        <v>250</v>
      </c>
      <c r="O182" s="4" t="s">
        <v>783</v>
      </c>
      <c r="P182" s="5">
        <v>46270.666666666664</v>
      </c>
      <c r="Q182" s="4" t="s">
        <v>1138</v>
      </c>
      <c r="R182" s="31" t="s">
        <v>31</v>
      </c>
      <c r="S182" s="33">
        <v>0</v>
      </c>
      <c r="T182" s="31" t="s">
        <v>94</v>
      </c>
      <c r="U182" s="33"/>
      <c r="V182" s="31" t="s">
        <v>110</v>
      </c>
      <c r="W182" s="7"/>
      <c r="X182" s="35">
        <v>46271.05877358796</v>
      </c>
      <c r="Y182" s="31" t="s">
        <v>785</v>
      </c>
      <c r="Z182" s="47"/>
      <c r="AA182" s="4"/>
      <c r="AB182" s="7"/>
    </row>
    <row r="183" spans="1:28" ht="42" customHeight="1">
      <c r="A183" s="6" t="s">
        <v>1139</v>
      </c>
      <c r="B183" s="4" t="s">
        <v>1140</v>
      </c>
      <c r="C183" s="4" t="s">
        <v>1140</v>
      </c>
      <c r="D183" s="4" t="s">
        <v>777</v>
      </c>
      <c r="E183" s="4" t="s">
        <v>778</v>
      </c>
      <c r="F183" s="4" t="s">
        <v>36</v>
      </c>
      <c r="G183" s="4" t="s">
        <v>1141</v>
      </c>
      <c r="H183" s="4" t="s">
        <v>948</v>
      </c>
      <c r="I183" s="4" t="s">
        <v>780</v>
      </c>
      <c r="J183" s="7"/>
      <c r="K183" s="7" t="s">
        <v>1142</v>
      </c>
      <c r="L183" s="4" t="s">
        <v>782</v>
      </c>
      <c r="M183" s="4" t="s">
        <v>167</v>
      </c>
      <c r="N183" s="4" t="s">
        <v>250</v>
      </c>
      <c r="O183" s="4" t="s">
        <v>783</v>
      </c>
      <c r="P183" s="5">
        <v>46270.666666666664</v>
      </c>
      <c r="Q183" s="4" t="s">
        <v>1143</v>
      </c>
      <c r="R183" s="31" t="s">
        <v>31</v>
      </c>
      <c r="S183" s="33">
        <v>0</v>
      </c>
      <c r="T183" s="31" t="s">
        <v>94</v>
      </c>
      <c r="U183" s="33"/>
      <c r="V183" s="31" t="s">
        <v>110</v>
      </c>
      <c r="W183" s="7"/>
      <c r="X183" s="35">
        <v>46271.05877358796</v>
      </c>
      <c r="Y183" s="31" t="s">
        <v>785</v>
      </c>
      <c r="Z183" s="47"/>
      <c r="AA183" s="4"/>
      <c r="AB183" s="7"/>
    </row>
    <row r="184" spans="1:28" ht="42" customHeight="1">
      <c r="A184" s="6" t="s">
        <v>1144</v>
      </c>
      <c r="B184" s="4" t="s">
        <v>1145</v>
      </c>
      <c r="C184" s="4" t="s">
        <v>1145</v>
      </c>
      <c r="D184" s="4" t="s">
        <v>777</v>
      </c>
      <c r="E184" s="4" t="s">
        <v>778</v>
      </c>
      <c r="F184" s="4" t="s">
        <v>36</v>
      </c>
      <c r="G184" s="4" t="s">
        <v>1080</v>
      </c>
      <c r="H184" s="4" t="s">
        <v>1146</v>
      </c>
      <c r="I184" s="4" t="s">
        <v>780</v>
      </c>
      <c r="J184" s="7"/>
      <c r="K184" s="7" t="s">
        <v>1147</v>
      </c>
      <c r="L184" s="4" t="s">
        <v>782</v>
      </c>
      <c r="M184" s="4" t="s">
        <v>167</v>
      </c>
      <c r="N184" s="4" t="s">
        <v>250</v>
      </c>
      <c r="O184" s="4" t="s">
        <v>783</v>
      </c>
      <c r="P184" s="5">
        <v>46270.666666666664</v>
      </c>
      <c r="Q184" s="4" t="s">
        <v>1148</v>
      </c>
      <c r="R184" s="31" t="s">
        <v>31</v>
      </c>
      <c r="S184" s="33">
        <v>0</v>
      </c>
      <c r="T184" s="31" t="s">
        <v>94</v>
      </c>
      <c r="U184" s="33"/>
      <c r="V184" s="31" t="s">
        <v>110</v>
      </c>
      <c r="W184" s="7"/>
      <c r="X184" s="35">
        <v>46271.05877358796</v>
      </c>
      <c r="Y184" s="31" t="s">
        <v>785</v>
      </c>
      <c r="Z184" s="47"/>
      <c r="AA184" s="4"/>
      <c r="AB184" s="7"/>
    </row>
    <row r="185" spans="1:28" ht="42" customHeight="1">
      <c r="A185" s="6" t="s">
        <v>1149</v>
      </c>
      <c r="B185" s="4" t="s">
        <v>1150</v>
      </c>
      <c r="C185" s="4" t="s">
        <v>1150</v>
      </c>
      <c r="D185" s="4" t="s">
        <v>777</v>
      </c>
      <c r="E185" s="4" t="s">
        <v>778</v>
      </c>
      <c r="F185" s="4" t="s">
        <v>36</v>
      </c>
      <c r="G185" s="4" t="s">
        <v>1151</v>
      </c>
      <c r="H185" s="4" t="s">
        <v>1152</v>
      </c>
      <c r="I185" s="4" t="s">
        <v>780</v>
      </c>
      <c r="J185" s="7"/>
      <c r="K185" s="7" t="s">
        <v>1153</v>
      </c>
      <c r="L185" s="4" t="s">
        <v>782</v>
      </c>
      <c r="M185" s="4" t="s">
        <v>167</v>
      </c>
      <c r="N185" s="4" t="s">
        <v>250</v>
      </c>
      <c r="O185" s="4" t="s">
        <v>783</v>
      </c>
      <c r="P185" s="5">
        <v>46270.666666666664</v>
      </c>
      <c r="Q185" s="4" t="s">
        <v>1154</v>
      </c>
      <c r="R185" s="31" t="s">
        <v>31</v>
      </c>
      <c r="S185" s="33">
        <v>0</v>
      </c>
      <c r="T185" s="31" t="s">
        <v>94</v>
      </c>
      <c r="U185" s="33"/>
      <c r="V185" s="31" t="s">
        <v>110</v>
      </c>
      <c r="W185" s="7"/>
      <c r="X185" s="35">
        <v>46271.05877358796</v>
      </c>
      <c r="Y185" s="31" t="s">
        <v>785</v>
      </c>
      <c r="Z185" s="47"/>
      <c r="AA185" s="4"/>
      <c r="AB185" s="7"/>
    </row>
    <row r="186" spans="1:28" ht="42" customHeight="1">
      <c r="A186" s="6" t="s">
        <v>1155</v>
      </c>
      <c r="B186" s="4" t="s">
        <v>1156</v>
      </c>
      <c r="C186" s="4" t="s">
        <v>1156</v>
      </c>
      <c r="D186" s="4" t="s">
        <v>777</v>
      </c>
      <c r="E186" s="4" t="s">
        <v>778</v>
      </c>
      <c r="F186" s="4" t="s">
        <v>36</v>
      </c>
      <c r="G186" s="4" t="s">
        <v>1080</v>
      </c>
      <c r="H186" s="4" t="s">
        <v>788</v>
      </c>
      <c r="I186" s="4" t="s">
        <v>780</v>
      </c>
      <c r="J186" s="7"/>
      <c r="K186" s="7" t="s">
        <v>1157</v>
      </c>
      <c r="L186" s="4" t="s">
        <v>782</v>
      </c>
      <c r="M186" s="4" t="s">
        <v>167</v>
      </c>
      <c r="N186" s="4" t="s">
        <v>250</v>
      </c>
      <c r="O186" s="4" t="s">
        <v>783</v>
      </c>
      <c r="P186" s="5">
        <v>46270.666666666664</v>
      </c>
      <c r="Q186" s="4" t="s">
        <v>1158</v>
      </c>
      <c r="R186" s="31" t="s">
        <v>31</v>
      </c>
      <c r="S186" s="33">
        <v>0</v>
      </c>
      <c r="T186" s="31" t="s">
        <v>94</v>
      </c>
      <c r="U186" s="33"/>
      <c r="V186" s="31" t="s">
        <v>110</v>
      </c>
      <c r="W186" s="7"/>
      <c r="X186" s="35">
        <v>46271.05877358796</v>
      </c>
      <c r="Y186" s="31" t="s">
        <v>785</v>
      </c>
      <c r="Z186" s="47"/>
      <c r="AA186" s="4"/>
      <c r="AB186" s="7"/>
    </row>
    <row r="187" spans="1:28" ht="42" customHeight="1">
      <c r="A187" s="6" t="s">
        <v>1159</v>
      </c>
      <c r="B187" s="4" t="s">
        <v>1160</v>
      </c>
      <c r="C187" s="4" t="s">
        <v>1160</v>
      </c>
      <c r="D187" s="4" t="s">
        <v>777</v>
      </c>
      <c r="E187" s="4" t="s">
        <v>778</v>
      </c>
      <c r="F187" s="4" t="s">
        <v>36</v>
      </c>
      <c r="G187" s="4" t="s">
        <v>1080</v>
      </c>
      <c r="H187" s="4" t="s">
        <v>788</v>
      </c>
      <c r="I187" s="4" t="s">
        <v>780</v>
      </c>
      <c r="J187" s="7"/>
      <c r="K187" s="7" t="s">
        <v>1161</v>
      </c>
      <c r="L187" s="4" t="s">
        <v>782</v>
      </c>
      <c r="M187" s="4" t="s">
        <v>167</v>
      </c>
      <c r="N187" s="4" t="s">
        <v>250</v>
      </c>
      <c r="O187" s="4" t="s">
        <v>783</v>
      </c>
      <c r="P187" s="5">
        <v>46270.666666666664</v>
      </c>
      <c r="Q187" s="4" t="s">
        <v>1162</v>
      </c>
      <c r="R187" s="31" t="s">
        <v>31</v>
      </c>
      <c r="S187" s="33">
        <v>0</v>
      </c>
      <c r="T187" s="31" t="s">
        <v>94</v>
      </c>
      <c r="U187" s="33"/>
      <c r="V187" s="31" t="s">
        <v>110</v>
      </c>
      <c r="W187" s="7"/>
      <c r="X187" s="35">
        <v>46271.05877358796</v>
      </c>
      <c r="Y187" s="31" t="s">
        <v>785</v>
      </c>
      <c r="Z187" s="47"/>
      <c r="AA187" s="4"/>
      <c r="AB187" s="7"/>
    </row>
    <row r="188" spans="1:28" ht="42" customHeight="1">
      <c r="A188" s="6" t="s">
        <v>1163</v>
      </c>
      <c r="B188" s="4" t="s">
        <v>1164</v>
      </c>
      <c r="C188" s="4" t="s">
        <v>1164</v>
      </c>
      <c r="D188" s="4" t="s">
        <v>777</v>
      </c>
      <c r="E188" s="4" t="s">
        <v>778</v>
      </c>
      <c r="F188" s="4" t="s">
        <v>36</v>
      </c>
      <c r="G188" s="4" t="s">
        <v>1165</v>
      </c>
      <c r="H188" s="4" t="s">
        <v>997</v>
      </c>
      <c r="I188" s="4" t="s">
        <v>780</v>
      </c>
      <c r="J188" s="7"/>
      <c r="K188" s="7" t="s">
        <v>1166</v>
      </c>
      <c r="L188" s="4" t="s">
        <v>782</v>
      </c>
      <c r="M188" s="4" t="s">
        <v>167</v>
      </c>
      <c r="N188" s="4" t="s">
        <v>250</v>
      </c>
      <c r="O188" s="4" t="s">
        <v>783</v>
      </c>
      <c r="P188" s="5">
        <v>46270.666666666664</v>
      </c>
      <c r="Q188" s="4" t="s">
        <v>1167</v>
      </c>
      <c r="R188" s="31" t="s">
        <v>31</v>
      </c>
      <c r="S188" s="33">
        <v>0</v>
      </c>
      <c r="T188" s="31" t="s">
        <v>94</v>
      </c>
      <c r="U188" s="33"/>
      <c r="V188" s="31" t="s">
        <v>110</v>
      </c>
      <c r="W188" s="7"/>
      <c r="X188" s="35">
        <v>46271.05877358796</v>
      </c>
      <c r="Y188" s="31" t="s">
        <v>785</v>
      </c>
      <c r="Z188" s="47"/>
      <c r="AA188" s="4"/>
      <c r="AB188" s="7"/>
    </row>
    <row r="189" spans="1:28" ht="42" customHeight="1">
      <c r="A189" s="6" t="s">
        <v>1168</v>
      </c>
      <c r="B189" s="4" t="s">
        <v>1169</v>
      </c>
      <c r="C189" s="4" t="s">
        <v>1169</v>
      </c>
      <c r="D189" s="4" t="s">
        <v>777</v>
      </c>
      <c r="E189" s="4" t="s">
        <v>778</v>
      </c>
      <c r="F189" s="4" t="s">
        <v>36</v>
      </c>
      <c r="G189" s="4" t="s">
        <v>1170</v>
      </c>
      <c r="H189" s="4" t="s">
        <v>948</v>
      </c>
      <c r="I189" s="4" t="s">
        <v>780</v>
      </c>
      <c r="J189" s="7"/>
      <c r="K189" s="7" t="s">
        <v>1171</v>
      </c>
      <c r="L189" s="4" t="s">
        <v>782</v>
      </c>
      <c r="M189" s="4" t="s">
        <v>167</v>
      </c>
      <c r="N189" s="4" t="s">
        <v>250</v>
      </c>
      <c r="O189" s="4" t="s">
        <v>783</v>
      </c>
      <c r="P189" s="5">
        <v>46270.666666666664</v>
      </c>
      <c r="Q189" s="4" t="s">
        <v>1172</v>
      </c>
      <c r="R189" s="31" t="s">
        <v>31</v>
      </c>
      <c r="S189" s="33">
        <v>0</v>
      </c>
      <c r="T189" s="31" t="s">
        <v>94</v>
      </c>
      <c r="U189" s="33"/>
      <c r="V189" s="31" t="s">
        <v>110</v>
      </c>
      <c r="W189" s="7"/>
      <c r="X189" s="35">
        <v>46271.05877358796</v>
      </c>
      <c r="Y189" s="31" t="s">
        <v>785</v>
      </c>
      <c r="Z189" s="47"/>
      <c r="AA189" s="4"/>
      <c r="AB189" s="7"/>
    </row>
    <row r="190" spans="1:28" ht="42" customHeight="1">
      <c r="A190" s="6" t="s">
        <v>1173</v>
      </c>
      <c r="B190" s="4" t="s">
        <v>1174</v>
      </c>
      <c r="C190" s="4" t="s">
        <v>1174</v>
      </c>
      <c r="D190" s="4" t="s">
        <v>777</v>
      </c>
      <c r="E190" s="4" t="s">
        <v>778</v>
      </c>
      <c r="F190" s="4" t="s">
        <v>36</v>
      </c>
      <c r="G190" s="4" t="s">
        <v>1175</v>
      </c>
      <c r="H190" s="4" t="s">
        <v>948</v>
      </c>
      <c r="I190" s="4" t="s">
        <v>780</v>
      </c>
      <c r="J190" s="7"/>
      <c r="K190" s="7" t="s">
        <v>1176</v>
      </c>
      <c r="L190" s="4" t="s">
        <v>782</v>
      </c>
      <c r="M190" s="4" t="s">
        <v>167</v>
      </c>
      <c r="N190" s="4" t="s">
        <v>250</v>
      </c>
      <c r="O190" s="4" t="s">
        <v>783</v>
      </c>
      <c r="P190" s="5">
        <v>46270.666666666664</v>
      </c>
      <c r="Q190" s="4" t="s">
        <v>1177</v>
      </c>
      <c r="R190" s="31" t="s">
        <v>31</v>
      </c>
      <c r="S190" s="33">
        <v>0</v>
      </c>
      <c r="T190" s="31" t="s">
        <v>94</v>
      </c>
      <c r="U190" s="33"/>
      <c r="V190" s="31" t="s">
        <v>110</v>
      </c>
      <c r="W190" s="7"/>
      <c r="X190" s="35">
        <v>46271.05877358796</v>
      </c>
      <c r="Y190" s="31" t="s">
        <v>785</v>
      </c>
      <c r="Z190" s="47"/>
      <c r="AA190" s="4"/>
      <c r="AB190" s="7"/>
    </row>
    <row r="191" spans="1:28" ht="42" customHeight="1">
      <c r="A191" s="6" t="s">
        <v>1178</v>
      </c>
      <c r="B191" s="4" t="s">
        <v>148</v>
      </c>
      <c r="C191" s="4" t="s">
        <v>148</v>
      </c>
      <c r="D191" s="4" t="s">
        <v>777</v>
      </c>
      <c r="E191" s="4" t="s">
        <v>778</v>
      </c>
      <c r="F191" s="4" t="s">
        <v>36</v>
      </c>
      <c r="G191" s="4" t="s">
        <v>1179</v>
      </c>
      <c r="H191" s="4" t="s">
        <v>948</v>
      </c>
      <c r="I191" s="4" t="s">
        <v>780</v>
      </c>
      <c r="J191" s="7"/>
      <c r="K191" s="7" t="s">
        <v>1180</v>
      </c>
      <c r="L191" s="4" t="s">
        <v>782</v>
      </c>
      <c r="M191" s="4" t="s">
        <v>167</v>
      </c>
      <c r="N191" s="4" t="s">
        <v>250</v>
      </c>
      <c r="O191" s="4" t="s">
        <v>783</v>
      </c>
      <c r="P191" s="5">
        <v>46270.666666666664</v>
      </c>
      <c r="Q191" s="4" t="s">
        <v>1181</v>
      </c>
      <c r="R191" s="31" t="s">
        <v>31</v>
      </c>
      <c r="S191" s="33">
        <v>0</v>
      </c>
      <c r="T191" s="31" t="s">
        <v>94</v>
      </c>
      <c r="U191" s="33"/>
      <c r="V191" s="31" t="s">
        <v>110</v>
      </c>
      <c r="W191" s="7"/>
      <c r="X191" s="35">
        <v>46271.05877358796</v>
      </c>
      <c r="Y191" s="31" t="s">
        <v>785</v>
      </c>
      <c r="Z191" s="47"/>
      <c r="AA191" s="4"/>
      <c r="AB191" s="7"/>
    </row>
    <row r="192" spans="1:28" ht="42" customHeight="1">
      <c r="A192" s="6" t="s">
        <v>1182</v>
      </c>
      <c r="B192" s="4" t="s">
        <v>1183</v>
      </c>
      <c r="C192" s="4" t="s">
        <v>1183</v>
      </c>
      <c r="D192" s="4" t="s">
        <v>777</v>
      </c>
      <c r="E192" s="4" t="s">
        <v>778</v>
      </c>
      <c r="F192" s="4" t="s">
        <v>36</v>
      </c>
      <c r="G192" s="4" t="s">
        <v>1184</v>
      </c>
      <c r="H192" s="4" t="s">
        <v>1185</v>
      </c>
      <c r="I192" s="4" t="s">
        <v>780</v>
      </c>
      <c r="J192" s="7"/>
      <c r="K192" s="7" t="s">
        <v>1186</v>
      </c>
      <c r="L192" s="4" t="s">
        <v>782</v>
      </c>
      <c r="M192" s="4" t="s">
        <v>167</v>
      </c>
      <c r="N192" s="4" t="s">
        <v>250</v>
      </c>
      <c r="O192" s="4" t="s">
        <v>783</v>
      </c>
      <c r="P192" s="5">
        <v>46270.666666666664</v>
      </c>
      <c r="Q192" s="4" t="s">
        <v>1187</v>
      </c>
      <c r="R192" s="31" t="s">
        <v>31</v>
      </c>
      <c r="S192" s="33">
        <v>0</v>
      </c>
      <c r="T192" s="31" t="s">
        <v>94</v>
      </c>
      <c r="U192" s="33"/>
      <c r="V192" s="31" t="s">
        <v>110</v>
      </c>
      <c r="W192" s="7"/>
      <c r="X192" s="35">
        <v>46271.05877358796</v>
      </c>
      <c r="Y192" s="31" t="s">
        <v>785</v>
      </c>
      <c r="Z192" s="47"/>
      <c r="AA192" s="4"/>
      <c r="AB192" s="7"/>
    </row>
    <row r="193" spans="1:28" ht="42" customHeight="1">
      <c r="A193" s="6" t="s">
        <v>1188</v>
      </c>
      <c r="B193" s="4" t="s">
        <v>1189</v>
      </c>
      <c r="C193" s="4" t="s">
        <v>1189</v>
      </c>
      <c r="D193" s="4" t="s">
        <v>777</v>
      </c>
      <c r="E193" s="4" t="s">
        <v>778</v>
      </c>
      <c r="F193" s="4" t="s">
        <v>36</v>
      </c>
      <c r="G193" s="4" t="s">
        <v>1080</v>
      </c>
      <c r="H193" s="4" t="s">
        <v>788</v>
      </c>
      <c r="I193" s="4" t="s">
        <v>780</v>
      </c>
      <c r="J193" s="7"/>
      <c r="K193" s="7" t="s">
        <v>1190</v>
      </c>
      <c r="L193" s="4" t="s">
        <v>782</v>
      </c>
      <c r="M193" s="4" t="s">
        <v>167</v>
      </c>
      <c r="N193" s="4" t="s">
        <v>250</v>
      </c>
      <c r="O193" s="4" t="s">
        <v>783</v>
      </c>
      <c r="P193" s="5">
        <v>46270.666666666664</v>
      </c>
      <c r="Q193" s="4" t="s">
        <v>1191</v>
      </c>
      <c r="R193" s="31" t="s">
        <v>31</v>
      </c>
      <c r="S193" s="33">
        <v>0</v>
      </c>
      <c r="T193" s="31" t="s">
        <v>94</v>
      </c>
      <c r="U193" s="33"/>
      <c r="V193" s="31" t="s">
        <v>110</v>
      </c>
      <c r="W193" s="7"/>
      <c r="X193" s="35">
        <v>46271.05877358796</v>
      </c>
      <c r="Y193" s="31" t="s">
        <v>785</v>
      </c>
      <c r="Z193" s="47"/>
      <c r="AA193" s="4"/>
      <c r="AB193" s="7"/>
    </row>
    <row r="194" spans="1:28" ht="42" customHeight="1">
      <c r="A194" s="6" t="s">
        <v>1192</v>
      </c>
      <c r="B194" s="4" t="s">
        <v>1193</v>
      </c>
      <c r="C194" s="4" t="s">
        <v>1193</v>
      </c>
      <c r="D194" s="4" t="s">
        <v>777</v>
      </c>
      <c r="E194" s="4" t="s">
        <v>778</v>
      </c>
      <c r="F194" s="4" t="s">
        <v>36</v>
      </c>
      <c r="G194" s="4"/>
      <c r="H194" s="4" t="s">
        <v>788</v>
      </c>
      <c r="I194" s="4" t="s">
        <v>780</v>
      </c>
      <c r="J194" s="7"/>
      <c r="K194" s="7" t="s">
        <v>1194</v>
      </c>
      <c r="L194" s="4" t="s">
        <v>782</v>
      </c>
      <c r="M194" s="4" t="s">
        <v>167</v>
      </c>
      <c r="N194" s="4" t="s">
        <v>250</v>
      </c>
      <c r="O194" s="4" t="s">
        <v>783</v>
      </c>
      <c r="P194" s="5">
        <v>46270.666666666664</v>
      </c>
      <c r="Q194" s="4" t="s">
        <v>1195</v>
      </c>
      <c r="R194" s="31" t="s">
        <v>31</v>
      </c>
      <c r="S194" s="33">
        <v>0</v>
      </c>
      <c r="T194" s="31" t="s">
        <v>94</v>
      </c>
      <c r="U194" s="33"/>
      <c r="V194" s="31" t="s">
        <v>110</v>
      </c>
      <c r="W194" s="7"/>
      <c r="X194" s="35">
        <v>46271.05877358796</v>
      </c>
      <c r="Y194" s="31" t="s">
        <v>785</v>
      </c>
      <c r="Z194" s="47"/>
      <c r="AA194" s="4"/>
      <c r="AB194" s="7"/>
    </row>
    <row r="195" spans="1:28" ht="42" customHeight="1">
      <c r="A195" s="6" t="s">
        <v>1196</v>
      </c>
      <c r="B195" s="4" t="s">
        <v>1197</v>
      </c>
      <c r="C195" s="4" t="s">
        <v>1197</v>
      </c>
      <c r="D195" s="4" t="s">
        <v>777</v>
      </c>
      <c r="E195" s="4" t="s">
        <v>778</v>
      </c>
      <c r="F195" s="4" t="s">
        <v>36</v>
      </c>
      <c r="G195" s="4" t="s">
        <v>1198</v>
      </c>
      <c r="H195" s="4" t="s">
        <v>476</v>
      </c>
      <c r="I195" s="4" t="s">
        <v>780</v>
      </c>
      <c r="J195" s="7"/>
      <c r="K195" s="7" t="s">
        <v>1199</v>
      </c>
      <c r="L195" s="4" t="s">
        <v>782</v>
      </c>
      <c r="M195" s="4" t="s">
        <v>167</v>
      </c>
      <c r="N195" s="4" t="s">
        <v>250</v>
      </c>
      <c r="O195" s="4" t="s">
        <v>783</v>
      </c>
      <c r="P195" s="5">
        <v>46270.666666666664</v>
      </c>
      <c r="Q195" s="4" t="s">
        <v>1200</v>
      </c>
      <c r="R195" s="31" t="s">
        <v>31</v>
      </c>
      <c r="S195" s="33">
        <v>0</v>
      </c>
      <c r="T195" s="31" t="s">
        <v>94</v>
      </c>
      <c r="U195" s="33"/>
      <c r="V195" s="31" t="s">
        <v>110</v>
      </c>
      <c r="W195" s="7"/>
      <c r="X195" s="35">
        <v>46271.05877358796</v>
      </c>
      <c r="Y195" s="31" t="s">
        <v>785</v>
      </c>
      <c r="Z195" s="47"/>
      <c r="AA195" s="4"/>
      <c r="AB195" s="7"/>
    </row>
    <row r="196" spans="1:28" ht="42" customHeight="1">
      <c r="A196" s="6" t="s">
        <v>1201</v>
      </c>
      <c r="B196" s="4" t="s">
        <v>1202</v>
      </c>
      <c r="C196" s="4" t="s">
        <v>1202</v>
      </c>
      <c r="D196" s="4" t="s">
        <v>777</v>
      </c>
      <c r="E196" s="4" t="s">
        <v>778</v>
      </c>
      <c r="F196" s="4" t="s">
        <v>36</v>
      </c>
      <c r="G196" s="4" t="s">
        <v>1080</v>
      </c>
      <c r="H196" s="4" t="s">
        <v>788</v>
      </c>
      <c r="I196" s="4" t="s">
        <v>780</v>
      </c>
      <c r="J196" s="7"/>
      <c r="K196" s="7" t="s">
        <v>1203</v>
      </c>
      <c r="L196" s="4" t="s">
        <v>782</v>
      </c>
      <c r="M196" s="4" t="s">
        <v>167</v>
      </c>
      <c r="N196" s="4" t="s">
        <v>250</v>
      </c>
      <c r="O196" s="4" t="s">
        <v>783</v>
      </c>
      <c r="P196" s="5">
        <v>46270.666666666664</v>
      </c>
      <c r="Q196" s="4" t="s">
        <v>1204</v>
      </c>
      <c r="R196" s="31" t="s">
        <v>31</v>
      </c>
      <c r="S196" s="33">
        <v>0</v>
      </c>
      <c r="T196" s="31" t="s">
        <v>94</v>
      </c>
      <c r="U196" s="33"/>
      <c r="V196" s="31" t="s">
        <v>110</v>
      </c>
      <c r="W196" s="7"/>
      <c r="X196" s="35">
        <v>46271.05877358796</v>
      </c>
      <c r="Y196" s="31" t="s">
        <v>785</v>
      </c>
      <c r="Z196" s="47"/>
      <c r="AA196" s="4"/>
      <c r="AB196" s="7"/>
    </row>
    <row r="197" spans="1:28" ht="42" customHeight="1">
      <c r="A197" s="6" t="s">
        <v>1205</v>
      </c>
      <c r="B197" s="4" t="s">
        <v>1206</v>
      </c>
      <c r="C197" s="4" t="s">
        <v>1206</v>
      </c>
      <c r="D197" s="4" t="s">
        <v>777</v>
      </c>
      <c r="E197" s="4" t="s">
        <v>778</v>
      </c>
      <c r="F197" s="4" t="s">
        <v>36</v>
      </c>
      <c r="G197" s="4" t="s">
        <v>1207</v>
      </c>
      <c r="H197" s="4" t="s">
        <v>992</v>
      </c>
      <c r="I197" s="4" t="s">
        <v>780</v>
      </c>
      <c r="J197" s="7"/>
      <c r="K197" s="7" t="s">
        <v>1208</v>
      </c>
      <c r="L197" s="4" t="s">
        <v>782</v>
      </c>
      <c r="M197" s="4" t="s">
        <v>167</v>
      </c>
      <c r="N197" s="4" t="s">
        <v>250</v>
      </c>
      <c r="O197" s="4" t="s">
        <v>783</v>
      </c>
      <c r="P197" s="5">
        <v>46270.666666666664</v>
      </c>
      <c r="Q197" s="4" t="s">
        <v>1209</v>
      </c>
      <c r="R197" s="31" t="s">
        <v>31</v>
      </c>
      <c r="S197" s="33">
        <v>0</v>
      </c>
      <c r="T197" s="31" t="s">
        <v>94</v>
      </c>
      <c r="U197" s="33"/>
      <c r="V197" s="31" t="s">
        <v>110</v>
      </c>
      <c r="W197" s="7"/>
      <c r="X197" s="35">
        <v>46271.05877358796</v>
      </c>
      <c r="Y197" s="31" t="s">
        <v>785</v>
      </c>
      <c r="Z197" s="47"/>
      <c r="AA197" s="4"/>
      <c r="AB197" s="7"/>
    </row>
    <row r="198" spans="1:28" ht="42" customHeight="1">
      <c r="A198" s="6" t="s">
        <v>1210</v>
      </c>
      <c r="B198" s="4" t="s">
        <v>1211</v>
      </c>
      <c r="C198" s="4" t="s">
        <v>1211</v>
      </c>
      <c r="D198" s="4" t="s">
        <v>777</v>
      </c>
      <c r="E198" s="4" t="s">
        <v>778</v>
      </c>
      <c r="F198" s="4" t="s">
        <v>39</v>
      </c>
      <c r="G198" s="4" t="s">
        <v>100</v>
      </c>
      <c r="H198" s="4" t="s">
        <v>788</v>
      </c>
      <c r="I198" s="4" t="s">
        <v>780</v>
      </c>
      <c r="J198" s="7"/>
      <c r="K198" s="7" t="s">
        <v>1212</v>
      </c>
      <c r="L198" s="4" t="s">
        <v>782</v>
      </c>
      <c r="M198" s="4" t="s">
        <v>167</v>
      </c>
      <c r="N198" s="4" t="s">
        <v>250</v>
      </c>
      <c r="O198" s="4" t="s">
        <v>783</v>
      </c>
      <c r="P198" s="5">
        <v>46270.666666666664</v>
      </c>
      <c r="Q198" s="4" t="s">
        <v>1213</v>
      </c>
      <c r="R198" s="31" t="s">
        <v>31</v>
      </c>
      <c r="S198" s="33">
        <v>0</v>
      </c>
      <c r="T198" s="31" t="s">
        <v>94</v>
      </c>
      <c r="U198" s="33"/>
      <c r="V198" s="31" t="s">
        <v>110</v>
      </c>
      <c r="W198" s="7"/>
      <c r="X198" s="35">
        <v>46271.05877358796</v>
      </c>
      <c r="Y198" s="31" t="s">
        <v>785</v>
      </c>
      <c r="Z198" s="47"/>
      <c r="AA198" s="4"/>
      <c r="AB198" s="7"/>
    </row>
    <row r="199" spans="1:28" ht="42" customHeight="1">
      <c r="A199" s="6" t="s">
        <v>1214</v>
      </c>
      <c r="B199" s="4" t="s">
        <v>1215</v>
      </c>
      <c r="C199" s="4" t="s">
        <v>1215</v>
      </c>
      <c r="D199" s="4" t="s">
        <v>777</v>
      </c>
      <c r="E199" s="4" t="s">
        <v>778</v>
      </c>
      <c r="F199" s="4" t="s">
        <v>39</v>
      </c>
      <c r="G199" s="4" t="s">
        <v>1216</v>
      </c>
      <c r="H199" s="4" t="s">
        <v>788</v>
      </c>
      <c r="I199" s="4" t="s">
        <v>780</v>
      </c>
      <c r="J199" s="7"/>
      <c r="K199" s="7" t="s">
        <v>1217</v>
      </c>
      <c r="L199" s="4" t="s">
        <v>782</v>
      </c>
      <c r="M199" s="4" t="s">
        <v>167</v>
      </c>
      <c r="N199" s="4" t="s">
        <v>250</v>
      </c>
      <c r="O199" s="4" t="s">
        <v>783</v>
      </c>
      <c r="P199" s="5">
        <v>46270.666666666664</v>
      </c>
      <c r="Q199" s="4" t="s">
        <v>1218</v>
      </c>
      <c r="R199" s="31" t="s">
        <v>31</v>
      </c>
      <c r="S199" s="33">
        <v>0</v>
      </c>
      <c r="T199" s="31" t="s">
        <v>94</v>
      </c>
      <c r="U199" s="33"/>
      <c r="V199" s="31" t="s">
        <v>110</v>
      </c>
      <c r="W199" s="7"/>
      <c r="X199" s="35">
        <v>46271.05877358796</v>
      </c>
      <c r="Y199" s="31" t="s">
        <v>785</v>
      </c>
      <c r="Z199" s="47"/>
      <c r="AA199" s="4"/>
      <c r="AB199" s="7"/>
    </row>
    <row r="200" spans="1:28" ht="42" customHeight="1">
      <c r="A200" s="6" t="s">
        <v>1219</v>
      </c>
      <c r="B200" s="4" t="s">
        <v>1220</v>
      </c>
      <c r="C200" s="4" t="s">
        <v>1220</v>
      </c>
      <c r="D200" s="4" t="s">
        <v>777</v>
      </c>
      <c r="E200" s="4" t="s">
        <v>778</v>
      </c>
      <c r="F200" s="4" t="s">
        <v>39</v>
      </c>
      <c r="G200" s="4" t="s">
        <v>575</v>
      </c>
      <c r="H200" s="4" t="s">
        <v>788</v>
      </c>
      <c r="I200" s="4" t="s">
        <v>780</v>
      </c>
      <c r="J200" s="7"/>
      <c r="K200" s="7" t="s">
        <v>1221</v>
      </c>
      <c r="L200" s="4" t="s">
        <v>782</v>
      </c>
      <c r="M200" s="4" t="s">
        <v>167</v>
      </c>
      <c r="N200" s="4" t="s">
        <v>250</v>
      </c>
      <c r="O200" s="4" t="s">
        <v>783</v>
      </c>
      <c r="P200" s="5">
        <v>46270.666666666664</v>
      </c>
      <c r="Q200" s="4" t="s">
        <v>1222</v>
      </c>
      <c r="R200" s="31" t="s">
        <v>31</v>
      </c>
      <c r="S200" s="33">
        <v>0</v>
      </c>
      <c r="T200" s="31" t="s">
        <v>94</v>
      </c>
      <c r="U200" s="33"/>
      <c r="V200" s="31" t="s">
        <v>110</v>
      </c>
      <c r="W200" s="7"/>
      <c r="X200" s="35">
        <v>46271.05877358796</v>
      </c>
      <c r="Y200" s="31" t="s">
        <v>785</v>
      </c>
      <c r="Z200" s="47"/>
      <c r="AA200" s="4"/>
      <c r="AB200" s="7"/>
    </row>
    <row r="201" spans="1:28" ht="42" customHeight="1">
      <c r="A201" s="6" t="s">
        <v>1223</v>
      </c>
      <c r="B201" s="4" t="s">
        <v>1224</v>
      </c>
      <c r="C201" s="4" t="s">
        <v>1224</v>
      </c>
      <c r="D201" s="4" t="s">
        <v>777</v>
      </c>
      <c r="E201" s="4" t="s">
        <v>778</v>
      </c>
      <c r="F201" s="4" t="s">
        <v>39</v>
      </c>
      <c r="G201" s="4" t="s">
        <v>1225</v>
      </c>
      <c r="H201" s="4" t="s">
        <v>476</v>
      </c>
      <c r="I201" s="4" t="s">
        <v>780</v>
      </c>
      <c r="J201" s="7"/>
      <c r="K201" s="7" t="s">
        <v>1226</v>
      </c>
      <c r="L201" s="4" t="s">
        <v>782</v>
      </c>
      <c r="M201" s="4" t="s">
        <v>167</v>
      </c>
      <c r="N201" s="4" t="s">
        <v>250</v>
      </c>
      <c r="O201" s="4" t="s">
        <v>783</v>
      </c>
      <c r="P201" s="5">
        <v>46270.666666666664</v>
      </c>
      <c r="Q201" s="4" t="s">
        <v>1227</v>
      </c>
      <c r="R201" s="31" t="s">
        <v>31</v>
      </c>
      <c r="S201" s="33">
        <v>0</v>
      </c>
      <c r="T201" s="31" t="s">
        <v>94</v>
      </c>
      <c r="U201" s="33"/>
      <c r="V201" s="31" t="s">
        <v>110</v>
      </c>
      <c r="W201" s="7"/>
      <c r="X201" s="35">
        <v>46271.05877358796</v>
      </c>
      <c r="Y201" s="31" t="s">
        <v>785</v>
      </c>
      <c r="Z201" s="47"/>
      <c r="AA201" s="4"/>
      <c r="AB201" s="7"/>
    </row>
    <row r="202" spans="1:28" ht="42" customHeight="1">
      <c r="A202" s="6" t="s">
        <v>1228</v>
      </c>
      <c r="B202" s="4" t="s">
        <v>1229</v>
      </c>
      <c r="C202" s="4" t="s">
        <v>1229</v>
      </c>
      <c r="D202" s="4" t="s">
        <v>777</v>
      </c>
      <c r="E202" s="4" t="s">
        <v>778</v>
      </c>
      <c r="F202" s="4" t="s">
        <v>39</v>
      </c>
      <c r="G202" s="4" t="s">
        <v>1230</v>
      </c>
      <c r="H202" s="4" t="s">
        <v>1231</v>
      </c>
      <c r="I202" s="4" t="s">
        <v>780</v>
      </c>
      <c r="J202" s="7"/>
      <c r="K202" s="7" t="s">
        <v>1232</v>
      </c>
      <c r="L202" s="4" t="s">
        <v>782</v>
      </c>
      <c r="M202" s="4" t="s">
        <v>167</v>
      </c>
      <c r="N202" s="4" t="s">
        <v>250</v>
      </c>
      <c r="O202" s="4" t="s">
        <v>783</v>
      </c>
      <c r="P202" s="5">
        <v>46270.666666666664</v>
      </c>
      <c r="Q202" s="4" t="s">
        <v>1233</v>
      </c>
      <c r="R202" s="31" t="s">
        <v>31</v>
      </c>
      <c r="S202" s="33">
        <v>0</v>
      </c>
      <c r="T202" s="31" t="s">
        <v>94</v>
      </c>
      <c r="U202" s="33"/>
      <c r="V202" s="31" t="s">
        <v>110</v>
      </c>
      <c r="W202" s="7"/>
      <c r="X202" s="35">
        <v>46271.05877358796</v>
      </c>
      <c r="Y202" s="31" t="s">
        <v>785</v>
      </c>
      <c r="Z202" s="47"/>
      <c r="AA202" s="4"/>
      <c r="AB202" s="7"/>
    </row>
    <row r="203" spans="1:28" ht="42" customHeight="1">
      <c r="A203" s="6" t="s">
        <v>1234</v>
      </c>
      <c r="B203" s="4" t="s">
        <v>1235</v>
      </c>
      <c r="C203" s="4" t="s">
        <v>1235</v>
      </c>
      <c r="D203" s="4" t="s">
        <v>777</v>
      </c>
      <c r="E203" s="4" t="s">
        <v>778</v>
      </c>
      <c r="F203" s="4" t="s">
        <v>39</v>
      </c>
      <c r="G203" s="4" t="s">
        <v>1230</v>
      </c>
      <c r="H203" s="4" t="s">
        <v>788</v>
      </c>
      <c r="I203" s="4" t="s">
        <v>780</v>
      </c>
      <c r="J203" s="7"/>
      <c r="K203" s="7" t="s">
        <v>1236</v>
      </c>
      <c r="L203" s="4" t="s">
        <v>782</v>
      </c>
      <c r="M203" s="4" t="s">
        <v>167</v>
      </c>
      <c r="N203" s="4" t="s">
        <v>250</v>
      </c>
      <c r="O203" s="4" t="s">
        <v>783</v>
      </c>
      <c r="P203" s="5">
        <v>46270.666666666664</v>
      </c>
      <c r="Q203" s="4" t="s">
        <v>1237</v>
      </c>
      <c r="R203" s="31" t="s">
        <v>31</v>
      </c>
      <c r="S203" s="33">
        <v>0</v>
      </c>
      <c r="T203" s="31" t="s">
        <v>94</v>
      </c>
      <c r="U203" s="33"/>
      <c r="V203" s="31" t="s">
        <v>110</v>
      </c>
      <c r="W203" s="7"/>
      <c r="X203" s="35">
        <v>46271.05877358796</v>
      </c>
      <c r="Y203" s="31" t="s">
        <v>785</v>
      </c>
      <c r="Z203" s="47"/>
      <c r="AA203" s="4"/>
      <c r="AB203" s="7"/>
    </row>
    <row r="204" spans="1:28" ht="42" customHeight="1">
      <c r="A204" s="6" t="s">
        <v>1238</v>
      </c>
      <c r="B204" s="4" t="s">
        <v>1239</v>
      </c>
      <c r="C204" s="4" t="s">
        <v>1239</v>
      </c>
      <c r="D204" s="4" t="s">
        <v>777</v>
      </c>
      <c r="E204" s="4" t="s">
        <v>778</v>
      </c>
      <c r="F204" s="4" t="s">
        <v>39</v>
      </c>
      <c r="G204" s="4" t="s">
        <v>1225</v>
      </c>
      <c r="H204" s="4" t="s">
        <v>948</v>
      </c>
      <c r="I204" s="4" t="s">
        <v>780</v>
      </c>
      <c r="J204" s="7"/>
      <c r="K204" s="7" t="s">
        <v>1240</v>
      </c>
      <c r="L204" s="4" t="s">
        <v>782</v>
      </c>
      <c r="M204" s="4" t="s">
        <v>167</v>
      </c>
      <c r="N204" s="4" t="s">
        <v>250</v>
      </c>
      <c r="O204" s="4" t="s">
        <v>783</v>
      </c>
      <c r="P204" s="5">
        <v>46270.666666666664</v>
      </c>
      <c r="Q204" s="4" t="s">
        <v>1241</v>
      </c>
      <c r="R204" s="31" t="s">
        <v>31</v>
      </c>
      <c r="S204" s="33">
        <v>0</v>
      </c>
      <c r="T204" s="31" t="s">
        <v>94</v>
      </c>
      <c r="U204" s="33"/>
      <c r="V204" s="31" t="s">
        <v>110</v>
      </c>
      <c r="W204" s="7"/>
      <c r="X204" s="35">
        <v>46271.05877358796</v>
      </c>
      <c r="Y204" s="31" t="s">
        <v>785</v>
      </c>
      <c r="Z204" s="47"/>
      <c r="AA204" s="4"/>
      <c r="AB204" s="7"/>
    </row>
    <row r="205" spans="1:28" ht="42" customHeight="1">
      <c r="A205" s="6" t="s">
        <v>1242</v>
      </c>
      <c r="B205" s="4" t="s">
        <v>1243</v>
      </c>
      <c r="C205" s="4" t="s">
        <v>1243</v>
      </c>
      <c r="D205" s="4" t="s">
        <v>777</v>
      </c>
      <c r="E205" s="4" t="s">
        <v>778</v>
      </c>
      <c r="F205" s="4" t="s">
        <v>39</v>
      </c>
      <c r="G205" s="4" t="s">
        <v>100</v>
      </c>
      <c r="H205" s="4" t="s">
        <v>948</v>
      </c>
      <c r="I205" s="4" t="s">
        <v>780</v>
      </c>
      <c r="J205" s="7"/>
      <c r="K205" s="7" t="s">
        <v>1244</v>
      </c>
      <c r="L205" s="4" t="s">
        <v>782</v>
      </c>
      <c r="M205" s="4" t="s">
        <v>167</v>
      </c>
      <c r="N205" s="4" t="s">
        <v>250</v>
      </c>
      <c r="O205" s="4" t="s">
        <v>783</v>
      </c>
      <c r="P205" s="5">
        <v>46270.666666666664</v>
      </c>
      <c r="Q205" s="4" t="s">
        <v>1245</v>
      </c>
      <c r="R205" s="31" t="s">
        <v>31</v>
      </c>
      <c r="S205" s="33">
        <v>0</v>
      </c>
      <c r="T205" s="31" t="s">
        <v>94</v>
      </c>
      <c r="U205" s="33"/>
      <c r="V205" s="31" t="s">
        <v>110</v>
      </c>
      <c r="W205" s="7"/>
      <c r="X205" s="35">
        <v>46271.05877358796</v>
      </c>
      <c r="Y205" s="31" t="s">
        <v>785</v>
      </c>
      <c r="Z205" s="47"/>
      <c r="AA205" s="4"/>
      <c r="AB205" s="7"/>
    </row>
    <row r="206" spans="1:28" ht="42" customHeight="1">
      <c r="A206" s="6" t="s">
        <v>1246</v>
      </c>
      <c r="B206" s="4" t="s">
        <v>1247</v>
      </c>
      <c r="C206" s="4" t="s">
        <v>1247</v>
      </c>
      <c r="D206" s="4" t="s">
        <v>777</v>
      </c>
      <c r="E206" s="4" t="s">
        <v>778</v>
      </c>
      <c r="F206" s="4" t="s">
        <v>39</v>
      </c>
      <c r="G206" s="4" t="s">
        <v>100</v>
      </c>
      <c r="H206" s="4" t="s">
        <v>788</v>
      </c>
      <c r="I206" s="4" t="s">
        <v>780</v>
      </c>
      <c r="J206" s="7"/>
      <c r="K206" s="7" t="s">
        <v>1248</v>
      </c>
      <c r="L206" s="4" t="s">
        <v>782</v>
      </c>
      <c r="M206" s="4" t="s">
        <v>167</v>
      </c>
      <c r="N206" s="4" t="s">
        <v>250</v>
      </c>
      <c r="O206" s="4" t="s">
        <v>783</v>
      </c>
      <c r="P206" s="5">
        <v>46270.666666666664</v>
      </c>
      <c r="Q206" s="4" t="s">
        <v>1249</v>
      </c>
      <c r="R206" s="31" t="s">
        <v>31</v>
      </c>
      <c r="S206" s="33">
        <v>0</v>
      </c>
      <c r="T206" s="31" t="s">
        <v>94</v>
      </c>
      <c r="U206" s="33"/>
      <c r="V206" s="31" t="s">
        <v>110</v>
      </c>
      <c r="W206" s="7"/>
      <c r="X206" s="35">
        <v>46271.058773599536</v>
      </c>
      <c r="Y206" s="31" t="s">
        <v>785</v>
      </c>
      <c r="Z206" s="47"/>
      <c r="AA206" s="4"/>
      <c r="AB206" s="7"/>
    </row>
    <row r="207" spans="1:28" ht="42" customHeight="1">
      <c r="A207" s="6" t="s">
        <v>1250</v>
      </c>
      <c r="B207" s="4" t="s">
        <v>1251</v>
      </c>
      <c r="C207" s="4" t="s">
        <v>1251</v>
      </c>
      <c r="D207" s="4" t="s">
        <v>777</v>
      </c>
      <c r="E207" s="4" t="s">
        <v>778</v>
      </c>
      <c r="F207" s="4" t="s">
        <v>39</v>
      </c>
      <c r="G207" s="4" t="s">
        <v>1252</v>
      </c>
      <c r="H207" s="4" t="s">
        <v>948</v>
      </c>
      <c r="I207" s="4" t="s">
        <v>780</v>
      </c>
      <c r="J207" s="7"/>
      <c r="K207" s="7" t="s">
        <v>1253</v>
      </c>
      <c r="L207" s="4" t="s">
        <v>782</v>
      </c>
      <c r="M207" s="4" t="s">
        <v>167</v>
      </c>
      <c r="N207" s="4" t="s">
        <v>250</v>
      </c>
      <c r="O207" s="4" t="s">
        <v>783</v>
      </c>
      <c r="P207" s="5">
        <v>46270.666666666664</v>
      </c>
      <c r="Q207" s="4" t="s">
        <v>1254</v>
      </c>
      <c r="R207" s="31" t="s">
        <v>31</v>
      </c>
      <c r="S207" s="33">
        <v>0</v>
      </c>
      <c r="T207" s="31" t="s">
        <v>94</v>
      </c>
      <c r="U207" s="33"/>
      <c r="V207" s="31" t="s">
        <v>110</v>
      </c>
      <c r="W207" s="7"/>
      <c r="X207" s="35">
        <v>46271.058773599536</v>
      </c>
      <c r="Y207" s="31" t="s">
        <v>785</v>
      </c>
      <c r="Z207" s="47"/>
      <c r="AA207" s="4"/>
      <c r="AB207" s="7"/>
    </row>
    <row r="208" spans="1:28" ht="42" customHeight="1">
      <c r="A208" s="6" t="s">
        <v>1255</v>
      </c>
      <c r="B208" s="4" t="s">
        <v>536</v>
      </c>
      <c r="C208" s="4" t="s">
        <v>536</v>
      </c>
      <c r="D208" s="4" t="s">
        <v>777</v>
      </c>
      <c r="E208" s="4" t="s">
        <v>778</v>
      </c>
      <c r="F208" s="4" t="s">
        <v>39</v>
      </c>
      <c r="G208" s="4" t="s">
        <v>1256</v>
      </c>
      <c r="H208" s="4" t="s">
        <v>948</v>
      </c>
      <c r="I208" s="4" t="s">
        <v>780</v>
      </c>
      <c r="J208" s="7"/>
      <c r="K208" s="7" t="s">
        <v>1257</v>
      </c>
      <c r="L208" s="4" t="s">
        <v>782</v>
      </c>
      <c r="M208" s="4" t="s">
        <v>167</v>
      </c>
      <c r="N208" s="4" t="s">
        <v>250</v>
      </c>
      <c r="O208" s="4" t="s">
        <v>783</v>
      </c>
      <c r="P208" s="5">
        <v>46270.666666666664</v>
      </c>
      <c r="Q208" s="4" t="s">
        <v>1258</v>
      </c>
      <c r="R208" s="31" t="s">
        <v>31</v>
      </c>
      <c r="S208" s="33">
        <v>0</v>
      </c>
      <c r="T208" s="31" t="s">
        <v>94</v>
      </c>
      <c r="U208" s="33"/>
      <c r="V208" s="31" t="s">
        <v>110</v>
      </c>
      <c r="W208" s="7"/>
      <c r="X208" s="35">
        <v>46271.058773599536</v>
      </c>
      <c r="Y208" s="31" t="s">
        <v>785</v>
      </c>
      <c r="Z208" s="47"/>
      <c r="AA208" s="4"/>
      <c r="AB208" s="7"/>
    </row>
    <row r="209" spans="1:28" ht="42" customHeight="1">
      <c r="A209" s="6" t="s">
        <v>1259</v>
      </c>
      <c r="B209" s="4" t="s">
        <v>593</v>
      </c>
      <c r="C209" s="4" t="s">
        <v>593</v>
      </c>
      <c r="D209" s="4" t="s">
        <v>777</v>
      </c>
      <c r="E209" s="4" t="s">
        <v>778</v>
      </c>
      <c r="F209" s="4" t="s">
        <v>39</v>
      </c>
      <c r="G209" s="4" t="s">
        <v>100</v>
      </c>
      <c r="H209" s="4" t="s">
        <v>948</v>
      </c>
      <c r="I209" s="4" t="s">
        <v>780</v>
      </c>
      <c r="J209" s="7"/>
      <c r="K209" s="7" t="s">
        <v>1260</v>
      </c>
      <c r="L209" s="4" t="s">
        <v>782</v>
      </c>
      <c r="M209" s="4" t="s">
        <v>167</v>
      </c>
      <c r="N209" s="4" t="s">
        <v>250</v>
      </c>
      <c r="O209" s="4" t="s">
        <v>783</v>
      </c>
      <c r="P209" s="5">
        <v>46270.666666666664</v>
      </c>
      <c r="Q209" s="4" t="s">
        <v>1261</v>
      </c>
      <c r="R209" s="31" t="s">
        <v>31</v>
      </c>
      <c r="S209" s="33">
        <v>0</v>
      </c>
      <c r="T209" s="31" t="s">
        <v>94</v>
      </c>
      <c r="U209" s="33"/>
      <c r="V209" s="31" t="s">
        <v>110</v>
      </c>
      <c r="W209" s="7"/>
      <c r="X209" s="35">
        <v>46271.058773599536</v>
      </c>
      <c r="Y209" s="31" t="s">
        <v>785</v>
      </c>
      <c r="Z209" s="47"/>
      <c r="AA209" s="4"/>
      <c r="AB209" s="7"/>
    </row>
    <row r="210" spans="1:28" ht="42" customHeight="1">
      <c r="A210" s="6" t="s">
        <v>1262</v>
      </c>
      <c r="B210" s="4" t="s">
        <v>1263</v>
      </c>
      <c r="C210" s="4" t="s">
        <v>1263</v>
      </c>
      <c r="D210" s="4" t="s">
        <v>777</v>
      </c>
      <c r="E210" s="4" t="s">
        <v>778</v>
      </c>
      <c r="F210" s="4" t="s">
        <v>39</v>
      </c>
      <c r="G210" s="4" t="s">
        <v>1264</v>
      </c>
      <c r="H210" s="4" t="s">
        <v>1265</v>
      </c>
      <c r="I210" s="4" t="s">
        <v>780</v>
      </c>
      <c r="J210" s="7"/>
      <c r="K210" s="7" t="s">
        <v>1266</v>
      </c>
      <c r="L210" s="4" t="s">
        <v>782</v>
      </c>
      <c r="M210" s="4" t="s">
        <v>167</v>
      </c>
      <c r="N210" s="4" t="s">
        <v>250</v>
      </c>
      <c r="O210" s="4" t="s">
        <v>783</v>
      </c>
      <c r="P210" s="5">
        <v>46270.666666666664</v>
      </c>
      <c r="Q210" s="4" t="s">
        <v>1267</v>
      </c>
      <c r="R210" s="31" t="s">
        <v>31</v>
      </c>
      <c r="S210" s="33">
        <v>0</v>
      </c>
      <c r="T210" s="31" t="s">
        <v>94</v>
      </c>
      <c r="U210" s="33"/>
      <c r="V210" s="31" t="s">
        <v>110</v>
      </c>
      <c r="W210" s="7"/>
      <c r="X210" s="35">
        <v>46271.058773599536</v>
      </c>
      <c r="Y210" s="31" t="s">
        <v>785</v>
      </c>
      <c r="Z210" s="47"/>
      <c r="AA210" s="4"/>
      <c r="AB210" s="7"/>
    </row>
    <row r="211" spans="1:28" ht="42" customHeight="1">
      <c r="A211" s="6" t="s">
        <v>1268</v>
      </c>
      <c r="B211" s="4" t="s">
        <v>1269</v>
      </c>
      <c r="C211" s="4" t="s">
        <v>1269</v>
      </c>
      <c r="D211" s="4" t="s">
        <v>777</v>
      </c>
      <c r="E211" s="4" t="s">
        <v>778</v>
      </c>
      <c r="F211" s="4" t="s">
        <v>40</v>
      </c>
      <c r="G211" s="4" t="s">
        <v>1270</v>
      </c>
      <c r="H211" s="4" t="s">
        <v>948</v>
      </c>
      <c r="I211" s="4" t="s">
        <v>780</v>
      </c>
      <c r="J211" s="7"/>
      <c r="K211" s="7" t="s">
        <v>1271</v>
      </c>
      <c r="L211" s="4" t="s">
        <v>782</v>
      </c>
      <c r="M211" s="4" t="s">
        <v>167</v>
      </c>
      <c r="N211" s="4" t="s">
        <v>250</v>
      </c>
      <c r="O211" s="4" t="s">
        <v>783</v>
      </c>
      <c r="P211" s="5">
        <v>46270.666666666664</v>
      </c>
      <c r="Q211" s="4" t="s">
        <v>1272</v>
      </c>
      <c r="R211" s="31" t="s">
        <v>31</v>
      </c>
      <c r="S211" s="33">
        <v>0</v>
      </c>
      <c r="T211" s="31" t="s">
        <v>94</v>
      </c>
      <c r="U211" s="33"/>
      <c r="V211" s="31" t="s">
        <v>110</v>
      </c>
      <c r="W211" s="7"/>
      <c r="X211" s="35">
        <v>46271.058773599536</v>
      </c>
      <c r="Y211" s="31" t="s">
        <v>785</v>
      </c>
      <c r="Z211" s="47"/>
      <c r="AA211" s="4"/>
      <c r="AB211" s="7"/>
    </row>
    <row r="212" spans="1:28" ht="42" customHeight="1">
      <c r="A212" s="6" t="s">
        <v>1273</v>
      </c>
      <c r="B212" s="4" t="s">
        <v>1274</v>
      </c>
      <c r="C212" s="4" t="s">
        <v>1274</v>
      </c>
      <c r="D212" s="4" t="s">
        <v>777</v>
      </c>
      <c r="E212" s="4" t="s">
        <v>778</v>
      </c>
      <c r="F212" s="4" t="s">
        <v>40</v>
      </c>
      <c r="G212" s="4" t="s">
        <v>1275</v>
      </c>
      <c r="H212" s="4" t="s">
        <v>948</v>
      </c>
      <c r="I212" s="4" t="s">
        <v>780</v>
      </c>
      <c r="J212" s="7"/>
      <c r="K212" s="7" t="s">
        <v>1276</v>
      </c>
      <c r="L212" s="4" t="s">
        <v>782</v>
      </c>
      <c r="M212" s="4" t="s">
        <v>167</v>
      </c>
      <c r="N212" s="4" t="s">
        <v>250</v>
      </c>
      <c r="O212" s="4" t="s">
        <v>783</v>
      </c>
      <c r="P212" s="5">
        <v>46270.666666666664</v>
      </c>
      <c r="Q212" s="4" t="s">
        <v>1277</v>
      </c>
      <c r="R212" s="31" t="s">
        <v>31</v>
      </c>
      <c r="S212" s="33">
        <v>0</v>
      </c>
      <c r="T212" s="31" t="s">
        <v>94</v>
      </c>
      <c r="U212" s="33"/>
      <c r="V212" s="31" t="s">
        <v>110</v>
      </c>
      <c r="W212" s="7"/>
      <c r="X212" s="35">
        <v>46271.058773599536</v>
      </c>
      <c r="Y212" s="31" t="s">
        <v>785</v>
      </c>
      <c r="Z212" s="47"/>
      <c r="AA212" s="4"/>
      <c r="AB212" s="7"/>
    </row>
    <row r="213" spans="1:28" ht="42" customHeight="1">
      <c r="A213" s="6" t="s">
        <v>1278</v>
      </c>
      <c r="B213" s="4" t="s">
        <v>1279</v>
      </c>
      <c r="C213" s="4" t="s">
        <v>1279</v>
      </c>
      <c r="D213" s="4" t="s">
        <v>777</v>
      </c>
      <c r="E213" s="4" t="s">
        <v>778</v>
      </c>
      <c r="F213" s="4" t="s">
        <v>40</v>
      </c>
      <c r="G213" s="4" t="s">
        <v>1280</v>
      </c>
      <c r="H213" s="4" t="s">
        <v>788</v>
      </c>
      <c r="I213" s="4" t="s">
        <v>780</v>
      </c>
      <c r="J213" s="7"/>
      <c r="K213" s="7" t="s">
        <v>1281</v>
      </c>
      <c r="L213" s="4" t="s">
        <v>782</v>
      </c>
      <c r="M213" s="4" t="s">
        <v>167</v>
      </c>
      <c r="N213" s="4" t="s">
        <v>250</v>
      </c>
      <c r="O213" s="4" t="s">
        <v>783</v>
      </c>
      <c r="P213" s="5">
        <v>46270.666666666664</v>
      </c>
      <c r="Q213" s="4" t="s">
        <v>1282</v>
      </c>
      <c r="R213" s="31" t="s">
        <v>31</v>
      </c>
      <c r="S213" s="33">
        <v>0</v>
      </c>
      <c r="T213" s="31" t="s">
        <v>94</v>
      </c>
      <c r="U213" s="33"/>
      <c r="V213" s="31" t="s">
        <v>110</v>
      </c>
      <c r="W213" s="7"/>
      <c r="X213" s="35">
        <v>46271.058773599536</v>
      </c>
      <c r="Y213" s="31" t="s">
        <v>785</v>
      </c>
      <c r="Z213" s="47"/>
      <c r="AA213" s="4"/>
      <c r="AB213" s="7"/>
    </row>
    <row r="214" spans="1:28" ht="42" customHeight="1">
      <c r="A214" s="6" t="s">
        <v>1283</v>
      </c>
      <c r="B214" s="4" t="s">
        <v>1284</v>
      </c>
      <c r="C214" s="4" t="s">
        <v>1284</v>
      </c>
      <c r="D214" s="4" t="s">
        <v>777</v>
      </c>
      <c r="E214" s="4" t="s">
        <v>778</v>
      </c>
      <c r="F214" s="4" t="s">
        <v>40</v>
      </c>
      <c r="G214" s="4" t="s">
        <v>1285</v>
      </c>
      <c r="H214" s="4" t="s">
        <v>1286</v>
      </c>
      <c r="I214" s="4" t="s">
        <v>780</v>
      </c>
      <c r="J214" s="7"/>
      <c r="K214" s="7" t="s">
        <v>1287</v>
      </c>
      <c r="L214" s="4" t="s">
        <v>782</v>
      </c>
      <c r="M214" s="4" t="s">
        <v>167</v>
      </c>
      <c r="N214" s="4" t="s">
        <v>250</v>
      </c>
      <c r="O214" s="4" t="s">
        <v>783</v>
      </c>
      <c r="P214" s="5">
        <v>46270.666666666664</v>
      </c>
      <c r="Q214" s="4" t="s">
        <v>1288</v>
      </c>
      <c r="R214" s="31" t="s">
        <v>31</v>
      </c>
      <c r="S214" s="33">
        <v>0</v>
      </c>
      <c r="T214" s="31" t="s">
        <v>94</v>
      </c>
      <c r="U214" s="33"/>
      <c r="V214" s="31" t="s">
        <v>110</v>
      </c>
      <c r="W214" s="7"/>
      <c r="X214" s="35">
        <v>46271.058773599536</v>
      </c>
      <c r="Y214" s="31" t="s">
        <v>785</v>
      </c>
      <c r="Z214" s="47"/>
      <c r="AA214" s="4"/>
      <c r="AB214" s="7"/>
    </row>
    <row r="215" spans="1:28" ht="42" customHeight="1">
      <c r="A215" s="6" t="s">
        <v>1289</v>
      </c>
      <c r="B215" s="4" t="s">
        <v>1290</v>
      </c>
      <c r="C215" s="4" t="s">
        <v>1290</v>
      </c>
      <c r="D215" s="4" t="s">
        <v>777</v>
      </c>
      <c r="E215" s="4" t="s">
        <v>778</v>
      </c>
      <c r="F215" s="4" t="s">
        <v>40</v>
      </c>
      <c r="G215" s="4" t="s">
        <v>1291</v>
      </c>
      <c r="H215" s="4" t="s">
        <v>1292</v>
      </c>
      <c r="I215" s="4" t="s">
        <v>780</v>
      </c>
      <c r="J215" s="7"/>
      <c r="K215" s="7" t="s">
        <v>1293</v>
      </c>
      <c r="L215" s="4" t="s">
        <v>782</v>
      </c>
      <c r="M215" s="4" t="s">
        <v>167</v>
      </c>
      <c r="N215" s="4" t="s">
        <v>250</v>
      </c>
      <c r="O215" s="4" t="s">
        <v>783</v>
      </c>
      <c r="P215" s="5">
        <v>46270.666666666664</v>
      </c>
      <c r="Q215" s="4" t="s">
        <v>1294</v>
      </c>
      <c r="R215" s="31" t="s">
        <v>31</v>
      </c>
      <c r="S215" s="33">
        <v>0</v>
      </c>
      <c r="T215" s="31" t="s">
        <v>94</v>
      </c>
      <c r="U215" s="33"/>
      <c r="V215" s="31" t="s">
        <v>110</v>
      </c>
      <c r="W215" s="7"/>
      <c r="X215" s="35">
        <v>46271.058773599536</v>
      </c>
      <c r="Y215" s="31" t="s">
        <v>785</v>
      </c>
      <c r="Z215" s="47"/>
      <c r="AA215" s="4"/>
      <c r="AB215" s="7"/>
    </row>
    <row r="216" spans="1:28" ht="42" customHeight="1">
      <c r="A216" s="6" t="s">
        <v>1295</v>
      </c>
      <c r="B216" s="4" t="s">
        <v>1296</v>
      </c>
      <c r="C216" s="4" t="s">
        <v>1296</v>
      </c>
      <c r="D216" s="4" t="s">
        <v>777</v>
      </c>
      <c r="E216" s="4" t="s">
        <v>778</v>
      </c>
      <c r="F216" s="4" t="s">
        <v>40</v>
      </c>
      <c r="G216" s="4" t="s">
        <v>1297</v>
      </c>
      <c r="H216" s="4" t="s">
        <v>948</v>
      </c>
      <c r="I216" s="4" t="s">
        <v>780</v>
      </c>
      <c r="J216" s="7"/>
      <c r="K216" s="7" t="s">
        <v>1298</v>
      </c>
      <c r="L216" s="4" t="s">
        <v>782</v>
      </c>
      <c r="M216" s="4" t="s">
        <v>167</v>
      </c>
      <c r="N216" s="4" t="s">
        <v>250</v>
      </c>
      <c r="O216" s="4" t="s">
        <v>783</v>
      </c>
      <c r="P216" s="5">
        <v>46270.666666666664</v>
      </c>
      <c r="Q216" s="4" t="s">
        <v>1299</v>
      </c>
      <c r="R216" s="31" t="s">
        <v>31</v>
      </c>
      <c r="S216" s="33">
        <v>0</v>
      </c>
      <c r="T216" s="31" t="s">
        <v>94</v>
      </c>
      <c r="U216" s="33"/>
      <c r="V216" s="31" t="s">
        <v>110</v>
      </c>
      <c r="W216" s="7"/>
      <c r="X216" s="35">
        <v>46271.058773599536</v>
      </c>
      <c r="Y216" s="31" t="s">
        <v>785</v>
      </c>
      <c r="Z216" s="47"/>
      <c r="AA216" s="4"/>
      <c r="AB216" s="7"/>
    </row>
    <row r="217" spans="1:28" ht="42" customHeight="1">
      <c r="A217" s="6" t="s">
        <v>1300</v>
      </c>
      <c r="B217" s="4" t="s">
        <v>1301</v>
      </c>
      <c r="C217" s="4" t="s">
        <v>1301</v>
      </c>
      <c r="D217" s="4" t="s">
        <v>777</v>
      </c>
      <c r="E217" s="4" t="s">
        <v>778</v>
      </c>
      <c r="F217" s="4" t="s">
        <v>40</v>
      </c>
      <c r="G217" s="4" t="s">
        <v>1302</v>
      </c>
      <c r="H217" s="4" t="s">
        <v>1286</v>
      </c>
      <c r="I217" s="4" t="s">
        <v>780</v>
      </c>
      <c r="J217" s="7"/>
      <c r="K217" s="7" t="s">
        <v>1303</v>
      </c>
      <c r="L217" s="4" t="s">
        <v>782</v>
      </c>
      <c r="M217" s="4" t="s">
        <v>167</v>
      </c>
      <c r="N217" s="4" t="s">
        <v>250</v>
      </c>
      <c r="O217" s="4" t="s">
        <v>783</v>
      </c>
      <c r="P217" s="5">
        <v>46270.666666666664</v>
      </c>
      <c r="Q217" s="4" t="s">
        <v>1304</v>
      </c>
      <c r="R217" s="31" t="s">
        <v>31</v>
      </c>
      <c r="S217" s="33">
        <v>0</v>
      </c>
      <c r="T217" s="31" t="s">
        <v>94</v>
      </c>
      <c r="U217" s="33"/>
      <c r="V217" s="31" t="s">
        <v>110</v>
      </c>
      <c r="W217" s="7"/>
      <c r="X217" s="35">
        <v>46271.058773599536</v>
      </c>
      <c r="Y217" s="31" t="s">
        <v>785</v>
      </c>
      <c r="Z217" s="47"/>
      <c r="AA217" s="4"/>
      <c r="AB217" s="7"/>
    </row>
    <row r="218" spans="1:28" ht="42" customHeight="1">
      <c r="A218" s="6" t="s">
        <v>1305</v>
      </c>
      <c r="B218" s="4" t="s">
        <v>1306</v>
      </c>
      <c r="C218" s="4" t="s">
        <v>1306</v>
      </c>
      <c r="D218" s="4" t="s">
        <v>777</v>
      </c>
      <c r="E218" s="4" t="s">
        <v>778</v>
      </c>
      <c r="F218" s="4" t="s">
        <v>40</v>
      </c>
      <c r="G218" s="4" t="s">
        <v>1307</v>
      </c>
      <c r="H218" s="4" t="s">
        <v>1308</v>
      </c>
      <c r="I218" s="4" t="s">
        <v>780</v>
      </c>
      <c r="J218" s="7"/>
      <c r="K218" s="7" t="s">
        <v>1309</v>
      </c>
      <c r="L218" s="4" t="s">
        <v>782</v>
      </c>
      <c r="M218" s="4" t="s">
        <v>167</v>
      </c>
      <c r="N218" s="4" t="s">
        <v>250</v>
      </c>
      <c r="O218" s="4" t="s">
        <v>783</v>
      </c>
      <c r="P218" s="5">
        <v>46270.666666666664</v>
      </c>
      <c r="Q218" s="4" t="s">
        <v>1310</v>
      </c>
      <c r="R218" s="31" t="s">
        <v>31</v>
      </c>
      <c r="S218" s="33">
        <v>0</v>
      </c>
      <c r="T218" s="31" t="s">
        <v>94</v>
      </c>
      <c r="U218" s="33"/>
      <c r="V218" s="31" t="s">
        <v>110</v>
      </c>
      <c r="W218" s="7"/>
      <c r="X218" s="35">
        <v>46271.058773599536</v>
      </c>
      <c r="Y218" s="31" t="s">
        <v>785</v>
      </c>
      <c r="Z218" s="47"/>
      <c r="AA218" s="4"/>
      <c r="AB218" s="7"/>
    </row>
    <row r="219" spans="1:28" ht="42" customHeight="1">
      <c r="A219" s="6" t="s">
        <v>1311</v>
      </c>
      <c r="B219" s="4" t="s">
        <v>1312</v>
      </c>
      <c r="C219" s="4" t="s">
        <v>1312</v>
      </c>
      <c r="D219" s="4" t="s">
        <v>777</v>
      </c>
      <c r="E219" s="4" t="s">
        <v>778</v>
      </c>
      <c r="F219" s="4" t="s">
        <v>40</v>
      </c>
      <c r="G219" s="4" t="s">
        <v>1313</v>
      </c>
      <c r="H219" s="4" t="s">
        <v>788</v>
      </c>
      <c r="I219" s="4" t="s">
        <v>780</v>
      </c>
      <c r="J219" s="7"/>
      <c r="K219" s="7" t="s">
        <v>1314</v>
      </c>
      <c r="L219" s="4" t="s">
        <v>782</v>
      </c>
      <c r="M219" s="4" t="s">
        <v>167</v>
      </c>
      <c r="N219" s="4" t="s">
        <v>250</v>
      </c>
      <c r="O219" s="4" t="s">
        <v>783</v>
      </c>
      <c r="P219" s="5">
        <v>46270.666666666664</v>
      </c>
      <c r="Q219" s="4" t="s">
        <v>1315</v>
      </c>
      <c r="R219" s="31" t="s">
        <v>31</v>
      </c>
      <c r="S219" s="33">
        <v>0</v>
      </c>
      <c r="T219" s="31" t="s">
        <v>94</v>
      </c>
      <c r="U219" s="33"/>
      <c r="V219" s="31" t="s">
        <v>110</v>
      </c>
      <c r="W219" s="7"/>
      <c r="X219" s="35">
        <v>46271.058773599536</v>
      </c>
      <c r="Y219" s="31" t="s">
        <v>785</v>
      </c>
      <c r="Z219" s="47"/>
      <c r="AA219" s="4"/>
      <c r="AB219" s="7"/>
    </row>
    <row r="220" spans="1:28" ht="42" customHeight="1">
      <c r="A220" s="6" t="s">
        <v>1316</v>
      </c>
      <c r="B220" s="4" t="s">
        <v>1317</v>
      </c>
      <c r="C220" s="4" t="s">
        <v>1317</v>
      </c>
      <c r="D220" s="4" t="s">
        <v>777</v>
      </c>
      <c r="E220" s="4" t="s">
        <v>778</v>
      </c>
      <c r="F220" s="4" t="s">
        <v>40</v>
      </c>
      <c r="G220" s="4" t="s">
        <v>1318</v>
      </c>
      <c r="H220" s="4" t="s">
        <v>1319</v>
      </c>
      <c r="I220" s="4" t="s">
        <v>780</v>
      </c>
      <c r="J220" s="7"/>
      <c r="K220" s="7" t="s">
        <v>1320</v>
      </c>
      <c r="L220" s="4" t="s">
        <v>782</v>
      </c>
      <c r="M220" s="4" t="s">
        <v>167</v>
      </c>
      <c r="N220" s="4" t="s">
        <v>250</v>
      </c>
      <c r="O220" s="4" t="s">
        <v>783</v>
      </c>
      <c r="P220" s="5">
        <v>46270.666666666664</v>
      </c>
      <c r="Q220" s="4" t="s">
        <v>1321</v>
      </c>
      <c r="R220" s="31" t="s">
        <v>31</v>
      </c>
      <c r="S220" s="33">
        <v>0</v>
      </c>
      <c r="T220" s="31" t="s">
        <v>94</v>
      </c>
      <c r="U220" s="33"/>
      <c r="V220" s="31" t="s">
        <v>110</v>
      </c>
      <c r="W220" s="7"/>
      <c r="X220" s="35">
        <v>46271.058773599536</v>
      </c>
      <c r="Y220" s="31" t="s">
        <v>785</v>
      </c>
      <c r="Z220" s="47"/>
      <c r="AA220" s="4"/>
      <c r="AB220" s="7"/>
    </row>
    <row r="221" spans="1:28" ht="42" customHeight="1">
      <c r="A221" s="6" t="s">
        <v>1322</v>
      </c>
      <c r="B221" s="4" t="s">
        <v>1323</v>
      </c>
      <c r="C221" s="4" t="s">
        <v>1323</v>
      </c>
      <c r="D221" s="4" t="s">
        <v>777</v>
      </c>
      <c r="E221" s="4" t="s">
        <v>778</v>
      </c>
      <c r="F221" s="4" t="s">
        <v>40</v>
      </c>
      <c r="G221" s="4" t="s">
        <v>1307</v>
      </c>
      <c r="H221" s="4" t="s">
        <v>788</v>
      </c>
      <c r="I221" s="4" t="s">
        <v>780</v>
      </c>
      <c r="J221" s="7"/>
      <c r="K221" s="7" t="s">
        <v>1324</v>
      </c>
      <c r="L221" s="4" t="s">
        <v>782</v>
      </c>
      <c r="M221" s="4" t="s">
        <v>167</v>
      </c>
      <c r="N221" s="4" t="s">
        <v>250</v>
      </c>
      <c r="O221" s="4" t="s">
        <v>783</v>
      </c>
      <c r="P221" s="5">
        <v>46270.666666666664</v>
      </c>
      <c r="Q221" s="4" t="s">
        <v>1325</v>
      </c>
      <c r="R221" s="31" t="s">
        <v>31</v>
      </c>
      <c r="S221" s="33">
        <v>0</v>
      </c>
      <c r="T221" s="31" t="s">
        <v>94</v>
      </c>
      <c r="U221" s="33"/>
      <c r="V221" s="31" t="s">
        <v>110</v>
      </c>
      <c r="W221" s="7"/>
      <c r="X221" s="35">
        <v>46271.058773599536</v>
      </c>
      <c r="Y221" s="31" t="s">
        <v>785</v>
      </c>
      <c r="Z221" s="47"/>
      <c r="AA221" s="4"/>
      <c r="AB221" s="7"/>
    </row>
    <row r="222" spans="1:28" ht="42" customHeight="1">
      <c r="A222" s="6" t="s">
        <v>1326</v>
      </c>
      <c r="B222" s="4" t="s">
        <v>1327</v>
      </c>
      <c r="C222" s="4" t="s">
        <v>1327</v>
      </c>
      <c r="D222" s="4" t="s">
        <v>777</v>
      </c>
      <c r="E222" s="4" t="s">
        <v>778</v>
      </c>
      <c r="F222" s="4" t="s">
        <v>40</v>
      </c>
      <c r="G222" s="4" t="s">
        <v>1328</v>
      </c>
      <c r="H222" s="4" t="s">
        <v>877</v>
      </c>
      <c r="I222" s="4" t="s">
        <v>780</v>
      </c>
      <c r="J222" s="7"/>
      <c r="K222" s="7" t="s">
        <v>1329</v>
      </c>
      <c r="L222" s="4" t="s">
        <v>782</v>
      </c>
      <c r="M222" s="4" t="s">
        <v>167</v>
      </c>
      <c r="N222" s="4" t="s">
        <v>250</v>
      </c>
      <c r="O222" s="4" t="s">
        <v>783</v>
      </c>
      <c r="P222" s="5">
        <v>46270.666666666664</v>
      </c>
      <c r="Q222" s="4" t="s">
        <v>1330</v>
      </c>
      <c r="R222" s="31" t="s">
        <v>31</v>
      </c>
      <c r="S222" s="33">
        <v>0</v>
      </c>
      <c r="T222" s="31" t="s">
        <v>94</v>
      </c>
      <c r="U222" s="33"/>
      <c r="V222" s="31" t="s">
        <v>110</v>
      </c>
      <c r="W222" s="7"/>
      <c r="X222" s="35">
        <v>46271.058773599536</v>
      </c>
      <c r="Y222" s="31" t="s">
        <v>785</v>
      </c>
      <c r="Z222" s="47"/>
      <c r="AA222" s="4"/>
      <c r="AB222" s="7"/>
    </row>
    <row r="223" spans="1:28" ht="42" customHeight="1">
      <c r="A223" s="6" t="s">
        <v>1331</v>
      </c>
      <c r="B223" s="4" t="s">
        <v>1332</v>
      </c>
      <c r="C223" s="4" t="s">
        <v>1332</v>
      </c>
      <c r="D223" s="4" t="s">
        <v>777</v>
      </c>
      <c r="E223" s="4" t="s">
        <v>778</v>
      </c>
      <c r="F223" s="4" t="s">
        <v>40</v>
      </c>
      <c r="G223" s="4" t="s">
        <v>1333</v>
      </c>
      <c r="H223" s="4" t="s">
        <v>1334</v>
      </c>
      <c r="I223" s="4" t="s">
        <v>780</v>
      </c>
      <c r="J223" s="7"/>
      <c r="K223" s="7" t="s">
        <v>1335</v>
      </c>
      <c r="L223" s="4" t="s">
        <v>782</v>
      </c>
      <c r="M223" s="4" t="s">
        <v>167</v>
      </c>
      <c r="N223" s="4" t="s">
        <v>250</v>
      </c>
      <c r="O223" s="4" t="s">
        <v>783</v>
      </c>
      <c r="P223" s="5">
        <v>46270.666666666664</v>
      </c>
      <c r="Q223" s="4" t="s">
        <v>1336</v>
      </c>
      <c r="R223" s="31" t="s">
        <v>31</v>
      </c>
      <c r="S223" s="33">
        <v>0</v>
      </c>
      <c r="T223" s="31" t="s">
        <v>94</v>
      </c>
      <c r="U223" s="33"/>
      <c r="V223" s="31" t="s">
        <v>110</v>
      </c>
      <c r="W223" s="7"/>
      <c r="X223" s="35">
        <v>46271.058773599536</v>
      </c>
      <c r="Y223" s="31" t="s">
        <v>785</v>
      </c>
      <c r="Z223" s="47"/>
      <c r="AA223" s="4"/>
      <c r="AB223" s="7"/>
    </row>
    <row r="224" spans="1:28" ht="42" customHeight="1">
      <c r="A224" s="6" t="s">
        <v>1337</v>
      </c>
      <c r="B224" s="4" t="s">
        <v>1338</v>
      </c>
      <c r="C224" s="4" t="s">
        <v>1338</v>
      </c>
      <c r="D224" s="4" t="s">
        <v>777</v>
      </c>
      <c r="E224" s="4" t="s">
        <v>778</v>
      </c>
      <c r="F224" s="4" t="s">
        <v>40</v>
      </c>
      <c r="G224" s="4" t="s">
        <v>1339</v>
      </c>
      <c r="H224" s="4" t="s">
        <v>788</v>
      </c>
      <c r="I224" s="4" t="s">
        <v>780</v>
      </c>
      <c r="J224" s="7"/>
      <c r="K224" s="7" t="s">
        <v>1340</v>
      </c>
      <c r="L224" s="4" t="s">
        <v>782</v>
      </c>
      <c r="M224" s="4" t="s">
        <v>167</v>
      </c>
      <c r="N224" s="4" t="s">
        <v>250</v>
      </c>
      <c r="O224" s="4" t="s">
        <v>783</v>
      </c>
      <c r="P224" s="5">
        <v>46270.666666666664</v>
      </c>
      <c r="Q224" s="4" t="s">
        <v>1341</v>
      </c>
      <c r="R224" s="31" t="s">
        <v>31</v>
      </c>
      <c r="S224" s="33">
        <v>0</v>
      </c>
      <c r="T224" s="31" t="s">
        <v>94</v>
      </c>
      <c r="U224" s="33"/>
      <c r="V224" s="31" t="s">
        <v>110</v>
      </c>
      <c r="W224" s="7"/>
      <c r="X224" s="35">
        <v>46271.058773599536</v>
      </c>
      <c r="Y224" s="31" t="s">
        <v>785</v>
      </c>
      <c r="Z224" s="47"/>
      <c r="AA224" s="4"/>
      <c r="AB224" s="7"/>
    </row>
    <row r="225" spans="1:28" ht="42" customHeight="1">
      <c r="A225" s="6" t="s">
        <v>1342</v>
      </c>
      <c r="B225" s="4" t="s">
        <v>1343</v>
      </c>
      <c r="C225" s="4" t="s">
        <v>1343</v>
      </c>
      <c r="D225" s="4" t="s">
        <v>777</v>
      </c>
      <c r="E225" s="4" t="s">
        <v>778</v>
      </c>
      <c r="F225" s="4" t="s">
        <v>40</v>
      </c>
      <c r="G225" s="4"/>
      <c r="H225" s="4" t="s">
        <v>948</v>
      </c>
      <c r="I225" s="4" t="s">
        <v>780</v>
      </c>
      <c r="J225" s="7"/>
      <c r="K225" s="7" t="s">
        <v>1344</v>
      </c>
      <c r="L225" s="4" t="s">
        <v>782</v>
      </c>
      <c r="M225" s="4" t="s">
        <v>167</v>
      </c>
      <c r="N225" s="4" t="s">
        <v>250</v>
      </c>
      <c r="O225" s="4" t="s">
        <v>783</v>
      </c>
      <c r="P225" s="5">
        <v>46270.666666666664</v>
      </c>
      <c r="Q225" s="4" t="s">
        <v>1345</v>
      </c>
      <c r="R225" s="31" t="s">
        <v>31</v>
      </c>
      <c r="S225" s="33">
        <v>0</v>
      </c>
      <c r="T225" s="31" t="s">
        <v>94</v>
      </c>
      <c r="U225" s="33"/>
      <c r="V225" s="31" t="s">
        <v>110</v>
      </c>
      <c r="W225" s="7"/>
      <c r="X225" s="35">
        <v>46271.058773599536</v>
      </c>
      <c r="Y225" s="31" t="s">
        <v>785</v>
      </c>
      <c r="Z225" s="47"/>
      <c r="AA225" s="4"/>
      <c r="AB225" s="7"/>
    </row>
    <row r="226" spans="1:28" ht="42" customHeight="1">
      <c r="A226" s="6" t="s">
        <v>1346</v>
      </c>
      <c r="B226" s="4" t="s">
        <v>1347</v>
      </c>
      <c r="C226" s="4" t="s">
        <v>1347</v>
      </c>
      <c r="D226" s="4" t="s">
        <v>777</v>
      </c>
      <c r="E226" s="4" t="s">
        <v>778</v>
      </c>
      <c r="F226" s="4" t="s">
        <v>40</v>
      </c>
      <c r="G226" s="4" t="s">
        <v>1307</v>
      </c>
      <c r="H226" s="4" t="s">
        <v>181</v>
      </c>
      <c r="I226" s="4" t="s">
        <v>780</v>
      </c>
      <c r="J226" s="7"/>
      <c r="K226" s="7" t="s">
        <v>1348</v>
      </c>
      <c r="L226" s="4" t="s">
        <v>782</v>
      </c>
      <c r="M226" s="4" t="s">
        <v>167</v>
      </c>
      <c r="N226" s="4" t="s">
        <v>250</v>
      </c>
      <c r="O226" s="4" t="s">
        <v>783</v>
      </c>
      <c r="P226" s="5">
        <v>46270.666666666664</v>
      </c>
      <c r="Q226" s="4" t="s">
        <v>1349</v>
      </c>
      <c r="R226" s="31" t="s">
        <v>31</v>
      </c>
      <c r="S226" s="33">
        <v>0</v>
      </c>
      <c r="T226" s="31" t="s">
        <v>94</v>
      </c>
      <c r="U226" s="33"/>
      <c r="V226" s="31" t="s">
        <v>110</v>
      </c>
      <c r="W226" s="7"/>
      <c r="X226" s="35">
        <v>46271.058773599536</v>
      </c>
      <c r="Y226" s="31" t="s">
        <v>785</v>
      </c>
      <c r="Z226" s="47"/>
      <c r="AA226" s="4"/>
      <c r="AB226" s="7"/>
    </row>
    <row r="227" spans="1:28" ht="42" customHeight="1">
      <c r="A227" s="6" t="s">
        <v>1350</v>
      </c>
      <c r="B227" s="4" t="s">
        <v>1351</v>
      </c>
      <c r="C227" s="4" t="s">
        <v>1351</v>
      </c>
      <c r="D227" s="4" t="s">
        <v>777</v>
      </c>
      <c r="E227" s="4" t="s">
        <v>778</v>
      </c>
      <c r="F227" s="4" t="s">
        <v>40</v>
      </c>
      <c r="G227" s="4" t="s">
        <v>1352</v>
      </c>
      <c r="H227" s="4" t="s">
        <v>788</v>
      </c>
      <c r="I227" s="4" t="s">
        <v>780</v>
      </c>
      <c r="J227" s="7"/>
      <c r="K227" s="7" t="s">
        <v>1353</v>
      </c>
      <c r="L227" s="4" t="s">
        <v>782</v>
      </c>
      <c r="M227" s="4" t="s">
        <v>167</v>
      </c>
      <c r="N227" s="4" t="s">
        <v>250</v>
      </c>
      <c r="O227" s="4" t="s">
        <v>783</v>
      </c>
      <c r="P227" s="5">
        <v>46270.666666666664</v>
      </c>
      <c r="Q227" s="4" t="s">
        <v>1354</v>
      </c>
      <c r="R227" s="31" t="s">
        <v>31</v>
      </c>
      <c r="S227" s="33">
        <v>0</v>
      </c>
      <c r="T227" s="31" t="s">
        <v>94</v>
      </c>
      <c r="U227" s="33"/>
      <c r="V227" s="31" t="s">
        <v>110</v>
      </c>
      <c r="W227" s="7"/>
      <c r="X227" s="35">
        <v>46271.058773599536</v>
      </c>
      <c r="Y227" s="31" t="s">
        <v>785</v>
      </c>
      <c r="Z227" s="47"/>
      <c r="AA227" s="4"/>
      <c r="AB227" s="7"/>
    </row>
    <row r="228" spans="1:28" ht="42" customHeight="1">
      <c r="A228" s="6" t="s">
        <v>1355</v>
      </c>
      <c r="B228" s="4" t="s">
        <v>1356</v>
      </c>
      <c r="C228" s="4" t="s">
        <v>1356</v>
      </c>
      <c r="D228" s="4" t="s">
        <v>777</v>
      </c>
      <c r="E228" s="4" t="s">
        <v>778</v>
      </c>
      <c r="F228" s="4" t="s">
        <v>40</v>
      </c>
      <c r="G228" s="4" t="s">
        <v>1357</v>
      </c>
      <c r="H228" s="4" t="s">
        <v>788</v>
      </c>
      <c r="I228" s="4" t="s">
        <v>780</v>
      </c>
      <c r="J228" s="7"/>
      <c r="K228" s="7" t="s">
        <v>1358</v>
      </c>
      <c r="L228" s="4" t="s">
        <v>782</v>
      </c>
      <c r="M228" s="4" t="s">
        <v>167</v>
      </c>
      <c r="N228" s="4" t="s">
        <v>250</v>
      </c>
      <c r="O228" s="4" t="s">
        <v>783</v>
      </c>
      <c r="P228" s="5">
        <v>46270.666666666664</v>
      </c>
      <c r="Q228" s="4" t="s">
        <v>1359</v>
      </c>
      <c r="R228" s="31" t="s">
        <v>31</v>
      </c>
      <c r="S228" s="33">
        <v>0</v>
      </c>
      <c r="T228" s="31" t="s">
        <v>94</v>
      </c>
      <c r="U228" s="33"/>
      <c r="V228" s="31" t="s">
        <v>110</v>
      </c>
      <c r="W228" s="7"/>
      <c r="X228" s="35">
        <v>46271.058773599536</v>
      </c>
      <c r="Y228" s="31" t="s">
        <v>785</v>
      </c>
      <c r="Z228" s="47"/>
      <c r="AA228" s="4"/>
      <c r="AB228" s="7"/>
    </row>
    <row r="229" spans="1:28" ht="42" customHeight="1">
      <c r="A229" s="6" t="s">
        <v>1360</v>
      </c>
      <c r="B229" s="4" t="s">
        <v>1361</v>
      </c>
      <c r="C229" s="4" t="s">
        <v>1361</v>
      </c>
      <c r="D229" s="4" t="s">
        <v>777</v>
      </c>
      <c r="E229" s="4" t="s">
        <v>778</v>
      </c>
      <c r="F229" s="4" t="s">
        <v>40</v>
      </c>
      <c r="G229" s="4" t="s">
        <v>1313</v>
      </c>
      <c r="H229" s="4" t="s">
        <v>1362</v>
      </c>
      <c r="I229" s="4" t="s">
        <v>780</v>
      </c>
      <c r="J229" s="7"/>
      <c r="K229" s="7" t="s">
        <v>1363</v>
      </c>
      <c r="L229" s="4" t="s">
        <v>782</v>
      </c>
      <c r="M229" s="4" t="s">
        <v>167</v>
      </c>
      <c r="N229" s="4" t="s">
        <v>250</v>
      </c>
      <c r="O229" s="4" t="s">
        <v>783</v>
      </c>
      <c r="P229" s="5">
        <v>46270.666666666664</v>
      </c>
      <c r="Q229" s="4" t="s">
        <v>1364</v>
      </c>
      <c r="R229" s="31" t="s">
        <v>31</v>
      </c>
      <c r="S229" s="33">
        <v>0</v>
      </c>
      <c r="T229" s="31" t="s">
        <v>94</v>
      </c>
      <c r="U229" s="33"/>
      <c r="V229" s="31" t="s">
        <v>110</v>
      </c>
      <c r="W229" s="7"/>
      <c r="X229" s="35">
        <v>46271.058773599536</v>
      </c>
      <c r="Y229" s="31" t="s">
        <v>785</v>
      </c>
      <c r="Z229" s="47"/>
      <c r="AA229" s="4"/>
      <c r="AB229" s="7"/>
    </row>
    <row r="230" spans="1:28" ht="42" customHeight="1">
      <c r="A230" s="6" t="s">
        <v>1365</v>
      </c>
      <c r="B230" s="4" t="s">
        <v>1366</v>
      </c>
      <c r="C230" s="4" t="s">
        <v>1366</v>
      </c>
      <c r="D230" s="4" t="s">
        <v>777</v>
      </c>
      <c r="E230" s="4" t="s">
        <v>778</v>
      </c>
      <c r="F230" s="4" t="s">
        <v>40</v>
      </c>
      <c r="G230" s="4" t="s">
        <v>1367</v>
      </c>
      <c r="H230" s="4" t="s">
        <v>948</v>
      </c>
      <c r="I230" s="4" t="s">
        <v>780</v>
      </c>
      <c r="J230" s="7"/>
      <c r="K230" s="7" t="s">
        <v>1368</v>
      </c>
      <c r="L230" s="4" t="s">
        <v>782</v>
      </c>
      <c r="M230" s="4" t="s">
        <v>167</v>
      </c>
      <c r="N230" s="4" t="s">
        <v>250</v>
      </c>
      <c r="O230" s="4" t="s">
        <v>783</v>
      </c>
      <c r="P230" s="5">
        <v>46270.666666666664</v>
      </c>
      <c r="Q230" s="4" t="s">
        <v>1369</v>
      </c>
      <c r="R230" s="31" t="s">
        <v>31</v>
      </c>
      <c r="S230" s="33">
        <v>0</v>
      </c>
      <c r="T230" s="31" t="s">
        <v>94</v>
      </c>
      <c r="U230" s="33"/>
      <c r="V230" s="31" t="s">
        <v>110</v>
      </c>
      <c r="W230" s="7"/>
      <c r="X230" s="35">
        <v>46271.058773599536</v>
      </c>
      <c r="Y230" s="31" t="s">
        <v>785</v>
      </c>
      <c r="Z230" s="47"/>
      <c r="AA230" s="4"/>
      <c r="AB230" s="7"/>
    </row>
    <row r="231" spans="1:28" ht="42" customHeight="1">
      <c r="A231" s="6" t="s">
        <v>1370</v>
      </c>
      <c r="B231" s="4" t="s">
        <v>1371</v>
      </c>
      <c r="C231" s="4" t="s">
        <v>1371</v>
      </c>
      <c r="D231" s="4" t="s">
        <v>777</v>
      </c>
      <c r="E231" s="4" t="s">
        <v>778</v>
      </c>
      <c r="F231" s="4" t="s">
        <v>40</v>
      </c>
      <c r="G231" s="4" t="s">
        <v>1372</v>
      </c>
      <c r="H231" s="4" t="s">
        <v>948</v>
      </c>
      <c r="I231" s="4" t="s">
        <v>780</v>
      </c>
      <c r="J231" s="7"/>
      <c r="K231" s="7" t="s">
        <v>1373</v>
      </c>
      <c r="L231" s="4" t="s">
        <v>782</v>
      </c>
      <c r="M231" s="4" t="s">
        <v>167</v>
      </c>
      <c r="N231" s="4" t="s">
        <v>250</v>
      </c>
      <c r="O231" s="4" t="s">
        <v>783</v>
      </c>
      <c r="P231" s="5">
        <v>46270.666666666664</v>
      </c>
      <c r="Q231" s="4" t="s">
        <v>1374</v>
      </c>
      <c r="R231" s="31" t="s">
        <v>31</v>
      </c>
      <c r="S231" s="33">
        <v>0</v>
      </c>
      <c r="T231" s="31" t="s">
        <v>94</v>
      </c>
      <c r="U231" s="33"/>
      <c r="V231" s="31" t="s">
        <v>110</v>
      </c>
      <c r="W231" s="7"/>
      <c r="X231" s="35">
        <v>46271.058773599536</v>
      </c>
      <c r="Y231" s="31" t="s">
        <v>785</v>
      </c>
      <c r="Z231" s="47"/>
      <c r="AA231" s="4"/>
      <c r="AB231" s="7"/>
    </row>
    <row r="232" spans="1:28" ht="42" customHeight="1">
      <c r="A232" s="6" t="s">
        <v>1375</v>
      </c>
      <c r="B232" s="4" t="s">
        <v>1376</v>
      </c>
      <c r="C232" s="4" t="s">
        <v>1376</v>
      </c>
      <c r="D232" s="4" t="s">
        <v>777</v>
      </c>
      <c r="E232" s="4" t="s">
        <v>778</v>
      </c>
      <c r="F232" s="4" t="s">
        <v>40</v>
      </c>
      <c r="G232" s="4" t="s">
        <v>1377</v>
      </c>
      <c r="H232" s="4" t="s">
        <v>992</v>
      </c>
      <c r="I232" s="4" t="s">
        <v>780</v>
      </c>
      <c r="J232" s="7"/>
      <c r="K232" s="7" t="s">
        <v>1378</v>
      </c>
      <c r="L232" s="4" t="s">
        <v>782</v>
      </c>
      <c r="M232" s="4" t="s">
        <v>167</v>
      </c>
      <c r="N232" s="4" t="s">
        <v>250</v>
      </c>
      <c r="O232" s="4" t="s">
        <v>783</v>
      </c>
      <c r="P232" s="5">
        <v>46270.666666666664</v>
      </c>
      <c r="Q232" s="4" t="s">
        <v>1379</v>
      </c>
      <c r="R232" s="31" t="s">
        <v>31</v>
      </c>
      <c r="S232" s="33">
        <v>0</v>
      </c>
      <c r="T232" s="31" t="s">
        <v>94</v>
      </c>
      <c r="U232" s="33"/>
      <c r="V232" s="31" t="s">
        <v>110</v>
      </c>
      <c r="W232" s="7"/>
      <c r="X232" s="35">
        <v>46271.058773599536</v>
      </c>
      <c r="Y232" s="31" t="s">
        <v>785</v>
      </c>
      <c r="Z232" s="47"/>
      <c r="AA232" s="4"/>
      <c r="AB232" s="7"/>
    </row>
    <row r="233" spans="1:28" ht="42" customHeight="1">
      <c r="A233" s="6" t="s">
        <v>1380</v>
      </c>
      <c r="B233" s="4" t="s">
        <v>1381</v>
      </c>
      <c r="C233" s="4" t="s">
        <v>1381</v>
      </c>
      <c r="D233" s="4" t="s">
        <v>777</v>
      </c>
      <c r="E233" s="4" t="s">
        <v>778</v>
      </c>
      <c r="F233" s="4" t="s">
        <v>41</v>
      </c>
      <c r="G233" s="4" t="s">
        <v>1382</v>
      </c>
      <c r="H233" s="4" t="s">
        <v>788</v>
      </c>
      <c r="I233" s="4" t="s">
        <v>780</v>
      </c>
      <c r="J233" s="7"/>
      <c r="K233" s="7" t="s">
        <v>1383</v>
      </c>
      <c r="L233" s="4" t="s">
        <v>782</v>
      </c>
      <c r="M233" s="4" t="s">
        <v>167</v>
      </c>
      <c r="N233" s="4" t="s">
        <v>250</v>
      </c>
      <c r="O233" s="4" t="s">
        <v>783</v>
      </c>
      <c r="P233" s="5">
        <v>46270.666666666664</v>
      </c>
      <c r="Q233" s="4" t="s">
        <v>1384</v>
      </c>
      <c r="R233" s="31" t="s">
        <v>31</v>
      </c>
      <c r="S233" s="33">
        <v>0</v>
      </c>
      <c r="T233" s="31" t="s">
        <v>94</v>
      </c>
      <c r="U233" s="33"/>
      <c r="V233" s="31" t="s">
        <v>110</v>
      </c>
      <c r="W233" s="7"/>
      <c r="X233" s="35">
        <v>46271.058773599536</v>
      </c>
      <c r="Y233" s="31" t="s">
        <v>785</v>
      </c>
      <c r="Z233" s="47"/>
      <c r="AA233" s="4"/>
      <c r="AB233" s="7"/>
    </row>
    <row r="234" spans="1:28" ht="42" customHeight="1">
      <c r="A234" s="6" t="s">
        <v>1385</v>
      </c>
      <c r="B234" s="4" t="s">
        <v>1386</v>
      </c>
      <c r="C234" s="4" t="s">
        <v>1386</v>
      </c>
      <c r="D234" s="4" t="s">
        <v>777</v>
      </c>
      <c r="E234" s="4" t="s">
        <v>778</v>
      </c>
      <c r="F234" s="4" t="s">
        <v>41</v>
      </c>
      <c r="G234" s="4" t="s">
        <v>1387</v>
      </c>
      <c r="H234" s="4" t="s">
        <v>788</v>
      </c>
      <c r="I234" s="4" t="s">
        <v>780</v>
      </c>
      <c r="J234" s="7"/>
      <c r="K234" s="7" t="s">
        <v>1388</v>
      </c>
      <c r="L234" s="4" t="s">
        <v>782</v>
      </c>
      <c r="M234" s="4" t="s">
        <v>167</v>
      </c>
      <c r="N234" s="4" t="s">
        <v>250</v>
      </c>
      <c r="O234" s="4" t="s">
        <v>783</v>
      </c>
      <c r="P234" s="5">
        <v>46270.666666666664</v>
      </c>
      <c r="Q234" s="4" t="s">
        <v>1389</v>
      </c>
      <c r="R234" s="31" t="s">
        <v>31</v>
      </c>
      <c r="S234" s="33">
        <v>0</v>
      </c>
      <c r="T234" s="31" t="s">
        <v>94</v>
      </c>
      <c r="U234" s="33"/>
      <c r="V234" s="31" t="s">
        <v>110</v>
      </c>
      <c r="W234" s="7"/>
      <c r="X234" s="35">
        <v>46271.058773599536</v>
      </c>
      <c r="Y234" s="31" t="s">
        <v>785</v>
      </c>
      <c r="Z234" s="47"/>
      <c r="AA234" s="4"/>
      <c r="AB234" s="7"/>
    </row>
    <row r="235" spans="1:28" ht="42" customHeight="1">
      <c r="A235" s="6" t="s">
        <v>1390</v>
      </c>
      <c r="B235" s="4" t="s">
        <v>1391</v>
      </c>
      <c r="C235" s="4" t="s">
        <v>1391</v>
      </c>
      <c r="D235" s="4" t="s">
        <v>777</v>
      </c>
      <c r="E235" s="4" t="s">
        <v>778</v>
      </c>
      <c r="F235" s="4" t="s">
        <v>41</v>
      </c>
      <c r="G235" s="4" t="s">
        <v>1392</v>
      </c>
      <c r="H235" s="4" t="s">
        <v>1286</v>
      </c>
      <c r="I235" s="4" t="s">
        <v>780</v>
      </c>
      <c r="J235" s="7"/>
      <c r="K235" s="7" t="s">
        <v>1393</v>
      </c>
      <c r="L235" s="4" t="s">
        <v>782</v>
      </c>
      <c r="M235" s="4" t="s">
        <v>167</v>
      </c>
      <c r="N235" s="4" t="s">
        <v>250</v>
      </c>
      <c r="O235" s="4" t="s">
        <v>783</v>
      </c>
      <c r="P235" s="5">
        <v>46270.666666666664</v>
      </c>
      <c r="Q235" s="4" t="s">
        <v>1394</v>
      </c>
      <c r="R235" s="31" t="s">
        <v>31</v>
      </c>
      <c r="S235" s="33">
        <v>0</v>
      </c>
      <c r="T235" s="31" t="s">
        <v>94</v>
      </c>
      <c r="U235" s="33"/>
      <c r="V235" s="31" t="s">
        <v>110</v>
      </c>
      <c r="W235" s="7"/>
      <c r="X235" s="35">
        <v>46271.058773599536</v>
      </c>
      <c r="Y235" s="31" t="s">
        <v>785</v>
      </c>
      <c r="Z235" s="47"/>
      <c r="AA235" s="4"/>
      <c r="AB235" s="7"/>
    </row>
    <row r="236" spans="1:28" ht="42" customHeight="1">
      <c r="A236" s="6" t="s">
        <v>1395</v>
      </c>
      <c r="B236" s="4" t="s">
        <v>1396</v>
      </c>
      <c r="C236" s="4" t="s">
        <v>1396</v>
      </c>
      <c r="D236" s="4" t="s">
        <v>777</v>
      </c>
      <c r="E236" s="4" t="s">
        <v>778</v>
      </c>
      <c r="F236" s="4" t="s">
        <v>41</v>
      </c>
      <c r="G236" s="4" t="s">
        <v>1397</v>
      </c>
      <c r="H236" s="4" t="s">
        <v>788</v>
      </c>
      <c r="I236" s="4" t="s">
        <v>780</v>
      </c>
      <c r="J236" s="7"/>
      <c r="K236" s="7" t="s">
        <v>1398</v>
      </c>
      <c r="L236" s="4" t="s">
        <v>782</v>
      </c>
      <c r="M236" s="4" t="s">
        <v>167</v>
      </c>
      <c r="N236" s="4" t="s">
        <v>250</v>
      </c>
      <c r="O236" s="4" t="s">
        <v>783</v>
      </c>
      <c r="P236" s="5">
        <v>46270.666666666664</v>
      </c>
      <c r="Q236" s="4" t="s">
        <v>1399</v>
      </c>
      <c r="R236" s="31" t="s">
        <v>31</v>
      </c>
      <c r="S236" s="33">
        <v>0</v>
      </c>
      <c r="T236" s="31" t="s">
        <v>94</v>
      </c>
      <c r="U236" s="33"/>
      <c r="V236" s="31" t="s">
        <v>110</v>
      </c>
      <c r="W236" s="7"/>
      <c r="X236" s="35">
        <v>46271.058773599536</v>
      </c>
      <c r="Y236" s="31" t="s">
        <v>785</v>
      </c>
      <c r="Z236" s="47"/>
      <c r="AA236" s="4"/>
      <c r="AB236" s="7"/>
    </row>
    <row r="237" spans="1:28" ht="42" customHeight="1">
      <c r="A237" s="6" t="s">
        <v>1400</v>
      </c>
      <c r="B237" s="4" t="s">
        <v>1401</v>
      </c>
      <c r="C237" s="4" t="s">
        <v>1401</v>
      </c>
      <c r="D237" s="4" t="s">
        <v>777</v>
      </c>
      <c r="E237" s="4" t="s">
        <v>778</v>
      </c>
      <c r="F237" s="4" t="s">
        <v>41</v>
      </c>
      <c r="G237" s="4" t="s">
        <v>1397</v>
      </c>
      <c r="H237" s="4" t="s">
        <v>788</v>
      </c>
      <c r="I237" s="4" t="s">
        <v>780</v>
      </c>
      <c r="J237" s="7"/>
      <c r="K237" s="7" t="s">
        <v>1402</v>
      </c>
      <c r="L237" s="4" t="s">
        <v>782</v>
      </c>
      <c r="M237" s="4" t="s">
        <v>167</v>
      </c>
      <c r="N237" s="4" t="s">
        <v>250</v>
      </c>
      <c r="O237" s="4" t="s">
        <v>783</v>
      </c>
      <c r="P237" s="5">
        <v>46270.666666666664</v>
      </c>
      <c r="Q237" s="4" t="s">
        <v>1403</v>
      </c>
      <c r="R237" s="31" t="s">
        <v>31</v>
      </c>
      <c r="S237" s="33">
        <v>0</v>
      </c>
      <c r="T237" s="31" t="s">
        <v>94</v>
      </c>
      <c r="U237" s="33"/>
      <c r="V237" s="31" t="s">
        <v>110</v>
      </c>
      <c r="W237" s="7"/>
      <c r="X237" s="35">
        <v>46271.058773599536</v>
      </c>
      <c r="Y237" s="31" t="s">
        <v>785</v>
      </c>
      <c r="Z237" s="47"/>
      <c r="AA237" s="4"/>
      <c r="AB237" s="7"/>
    </row>
    <row r="238" spans="1:28" ht="42" customHeight="1">
      <c r="A238" s="6" t="s">
        <v>1404</v>
      </c>
      <c r="B238" s="4" t="s">
        <v>1405</v>
      </c>
      <c r="C238" s="4" t="s">
        <v>1405</v>
      </c>
      <c r="D238" s="4" t="s">
        <v>777</v>
      </c>
      <c r="E238" s="4" t="s">
        <v>778</v>
      </c>
      <c r="F238" s="4" t="s">
        <v>41</v>
      </c>
      <c r="G238" s="4" t="s">
        <v>1406</v>
      </c>
      <c r="H238" s="4" t="s">
        <v>1407</v>
      </c>
      <c r="I238" s="4" t="s">
        <v>780</v>
      </c>
      <c r="J238" s="7"/>
      <c r="K238" s="7" t="s">
        <v>1408</v>
      </c>
      <c r="L238" s="4" t="s">
        <v>782</v>
      </c>
      <c r="M238" s="4" t="s">
        <v>167</v>
      </c>
      <c r="N238" s="4" t="s">
        <v>250</v>
      </c>
      <c r="O238" s="4" t="s">
        <v>783</v>
      </c>
      <c r="P238" s="5">
        <v>46270.666666666664</v>
      </c>
      <c r="Q238" s="4" t="s">
        <v>1409</v>
      </c>
      <c r="R238" s="31" t="s">
        <v>31</v>
      </c>
      <c r="S238" s="33">
        <v>0</v>
      </c>
      <c r="T238" s="31" t="s">
        <v>94</v>
      </c>
      <c r="U238" s="33"/>
      <c r="V238" s="31" t="s">
        <v>110</v>
      </c>
      <c r="W238" s="7"/>
      <c r="X238" s="35">
        <v>46271.058773599536</v>
      </c>
      <c r="Y238" s="31" t="s">
        <v>785</v>
      </c>
      <c r="Z238" s="47"/>
      <c r="AA238" s="4"/>
      <c r="AB238" s="7"/>
    </row>
    <row r="239" spans="1:28" ht="42" customHeight="1">
      <c r="A239" s="6" t="s">
        <v>1410</v>
      </c>
      <c r="B239" s="4" t="s">
        <v>1411</v>
      </c>
      <c r="C239" s="4" t="s">
        <v>1411</v>
      </c>
      <c r="D239" s="4" t="s">
        <v>777</v>
      </c>
      <c r="E239" s="4" t="s">
        <v>778</v>
      </c>
      <c r="F239" s="4" t="s">
        <v>41</v>
      </c>
      <c r="G239" s="4" t="s">
        <v>85</v>
      </c>
      <c r="H239" s="4" t="s">
        <v>1412</v>
      </c>
      <c r="I239" s="4" t="s">
        <v>780</v>
      </c>
      <c r="J239" s="7"/>
      <c r="K239" s="7" t="s">
        <v>1413</v>
      </c>
      <c r="L239" s="4" t="s">
        <v>782</v>
      </c>
      <c r="M239" s="4" t="s">
        <v>167</v>
      </c>
      <c r="N239" s="4" t="s">
        <v>250</v>
      </c>
      <c r="O239" s="4" t="s">
        <v>783</v>
      </c>
      <c r="P239" s="5">
        <v>46270.666666666664</v>
      </c>
      <c r="Q239" s="4" t="s">
        <v>1414</v>
      </c>
      <c r="R239" s="31" t="s">
        <v>31</v>
      </c>
      <c r="S239" s="33">
        <v>0</v>
      </c>
      <c r="T239" s="31" t="s">
        <v>94</v>
      </c>
      <c r="U239" s="33"/>
      <c r="V239" s="31" t="s">
        <v>110</v>
      </c>
      <c r="W239" s="7"/>
      <c r="X239" s="35">
        <v>46271.058773599536</v>
      </c>
      <c r="Y239" s="31" t="s">
        <v>785</v>
      </c>
      <c r="Z239" s="47"/>
      <c r="AA239" s="4"/>
      <c r="AB239" s="7"/>
    </row>
    <row r="240" spans="1:28" ht="42" customHeight="1">
      <c r="A240" s="6" t="s">
        <v>1415</v>
      </c>
      <c r="B240" s="4" t="s">
        <v>1416</v>
      </c>
      <c r="C240" s="4" t="s">
        <v>1416</v>
      </c>
      <c r="D240" s="4" t="s">
        <v>777</v>
      </c>
      <c r="E240" s="4" t="s">
        <v>778</v>
      </c>
      <c r="F240" s="4" t="s">
        <v>41</v>
      </c>
      <c r="G240" s="4" t="s">
        <v>85</v>
      </c>
      <c r="H240" s="4" t="s">
        <v>788</v>
      </c>
      <c r="I240" s="4" t="s">
        <v>780</v>
      </c>
      <c r="J240" s="7"/>
      <c r="K240" s="7" t="s">
        <v>1417</v>
      </c>
      <c r="L240" s="4" t="s">
        <v>782</v>
      </c>
      <c r="M240" s="4" t="s">
        <v>167</v>
      </c>
      <c r="N240" s="4" t="s">
        <v>250</v>
      </c>
      <c r="O240" s="4" t="s">
        <v>783</v>
      </c>
      <c r="P240" s="5">
        <v>46270.666666666664</v>
      </c>
      <c r="Q240" s="4" t="s">
        <v>1418</v>
      </c>
      <c r="R240" s="31" t="s">
        <v>31</v>
      </c>
      <c r="S240" s="33">
        <v>0</v>
      </c>
      <c r="T240" s="31" t="s">
        <v>94</v>
      </c>
      <c r="U240" s="33"/>
      <c r="V240" s="31" t="s">
        <v>110</v>
      </c>
      <c r="W240" s="7"/>
      <c r="X240" s="35">
        <v>46271.058773599536</v>
      </c>
      <c r="Y240" s="31" t="s">
        <v>785</v>
      </c>
      <c r="Z240" s="47"/>
      <c r="AA240" s="4"/>
      <c r="AB240" s="7"/>
    </row>
    <row r="241" spans="1:28" ht="42" customHeight="1">
      <c r="A241" s="6" t="s">
        <v>1419</v>
      </c>
      <c r="B241" s="4" t="s">
        <v>1420</v>
      </c>
      <c r="C241" s="4" t="s">
        <v>1420</v>
      </c>
      <c r="D241" s="4" t="s">
        <v>777</v>
      </c>
      <c r="E241" s="4" t="s">
        <v>778</v>
      </c>
      <c r="F241" s="4" t="s">
        <v>41</v>
      </c>
      <c r="G241" s="4" t="s">
        <v>85</v>
      </c>
      <c r="H241" s="4" t="s">
        <v>826</v>
      </c>
      <c r="I241" s="4" t="s">
        <v>780</v>
      </c>
      <c r="J241" s="7"/>
      <c r="K241" s="7" t="s">
        <v>1421</v>
      </c>
      <c r="L241" s="4" t="s">
        <v>782</v>
      </c>
      <c r="M241" s="4" t="s">
        <v>167</v>
      </c>
      <c r="N241" s="4" t="s">
        <v>250</v>
      </c>
      <c r="O241" s="4" t="s">
        <v>783</v>
      </c>
      <c r="P241" s="5">
        <v>46270.666666666664</v>
      </c>
      <c r="Q241" s="4" t="s">
        <v>1422</v>
      </c>
      <c r="R241" s="31" t="s">
        <v>31</v>
      </c>
      <c r="S241" s="33">
        <v>0</v>
      </c>
      <c r="T241" s="31" t="s">
        <v>94</v>
      </c>
      <c r="U241" s="33"/>
      <c r="V241" s="31" t="s">
        <v>110</v>
      </c>
      <c r="W241" s="7"/>
      <c r="X241" s="35">
        <v>46271.058773599536</v>
      </c>
      <c r="Y241" s="31" t="s">
        <v>785</v>
      </c>
      <c r="Z241" s="47"/>
      <c r="AA241" s="4"/>
      <c r="AB241" s="7"/>
    </row>
    <row r="242" spans="1:28" ht="42" customHeight="1">
      <c r="A242" s="6" t="s">
        <v>1423</v>
      </c>
      <c r="B242" s="4" t="s">
        <v>1424</v>
      </c>
      <c r="C242" s="4" t="s">
        <v>1424</v>
      </c>
      <c r="D242" s="4" t="s">
        <v>777</v>
      </c>
      <c r="E242" s="4" t="s">
        <v>778</v>
      </c>
      <c r="F242" s="4" t="s">
        <v>41</v>
      </c>
      <c r="G242" s="4" t="s">
        <v>85</v>
      </c>
      <c r="H242" s="4" t="s">
        <v>877</v>
      </c>
      <c r="I242" s="4" t="s">
        <v>780</v>
      </c>
      <c r="J242" s="7"/>
      <c r="K242" s="7" t="s">
        <v>1425</v>
      </c>
      <c r="L242" s="4" t="s">
        <v>782</v>
      </c>
      <c r="M242" s="4" t="s">
        <v>167</v>
      </c>
      <c r="N242" s="4" t="s">
        <v>250</v>
      </c>
      <c r="O242" s="4" t="s">
        <v>783</v>
      </c>
      <c r="P242" s="5">
        <v>46270.666666666664</v>
      </c>
      <c r="Q242" s="4" t="s">
        <v>1426</v>
      </c>
      <c r="R242" s="31" t="s">
        <v>31</v>
      </c>
      <c r="S242" s="33">
        <v>0</v>
      </c>
      <c r="T242" s="31" t="s">
        <v>94</v>
      </c>
      <c r="U242" s="33"/>
      <c r="V242" s="31" t="s">
        <v>110</v>
      </c>
      <c r="W242" s="7"/>
      <c r="X242" s="35">
        <v>46271.058773599536</v>
      </c>
      <c r="Y242" s="31" t="s">
        <v>785</v>
      </c>
      <c r="Z242" s="47"/>
      <c r="AA242" s="4"/>
      <c r="AB242" s="7"/>
    </row>
    <row r="243" spans="1:28" ht="42" customHeight="1">
      <c r="A243" s="6" t="s">
        <v>1427</v>
      </c>
      <c r="B243" s="4" t="s">
        <v>1428</v>
      </c>
      <c r="C243" s="4" t="s">
        <v>1428</v>
      </c>
      <c r="D243" s="4" t="s">
        <v>777</v>
      </c>
      <c r="E243" s="4" t="s">
        <v>778</v>
      </c>
      <c r="F243" s="4" t="s">
        <v>41</v>
      </c>
      <c r="G243" s="4" t="s">
        <v>1429</v>
      </c>
      <c r="H243" s="4" t="s">
        <v>788</v>
      </c>
      <c r="I243" s="4" t="s">
        <v>780</v>
      </c>
      <c r="J243" s="7"/>
      <c r="K243" s="7" t="s">
        <v>1430</v>
      </c>
      <c r="L243" s="4" t="s">
        <v>782</v>
      </c>
      <c r="M243" s="4" t="s">
        <v>167</v>
      </c>
      <c r="N243" s="4" t="s">
        <v>250</v>
      </c>
      <c r="O243" s="4" t="s">
        <v>783</v>
      </c>
      <c r="P243" s="5">
        <v>46270.666666666664</v>
      </c>
      <c r="Q243" s="4" t="s">
        <v>1431</v>
      </c>
      <c r="R243" s="31" t="s">
        <v>31</v>
      </c>
      <c r="S243" s="33">
        <v>0</v>
      </c>
      <c r="T243" s="31" t="s">
        <v>94</v>
      </c>
      <c r="U243" s="33"/>
      <c r="V243" s="31" t="s">
        <v>110</v>
      </c>
      <c r="W243" s="7"/>
      <c r="X243" s="35">
        <v>46271.058773599536</v>
      </c>
      <c r="Y243" s="31" t="s">
        <v>785</v>
      </c>
      <c r="Z243" s="47"/>
      <c r="AA243" s="4"/>
      <c r="AB243" s="7"/>
    </row>
    <row r="244" spans="1:28" ht="42" customHeight="1">
      <c r="A244" s="6" t="s">
        <v>1432</v>
      </c>
      <c r="B244" s="4" t="s">
        <v>1433</v>
      </c>
      <c r="C244" s="4" t="s">
        <v>1433</v>
      </c>
      <c r="D244" s="4" t="s">
        <v>777</v>
      </c>
      <c r="E244" s="4" t="s">
        <v>778</v>
      </c>
      <c r="F244" s="4" t="s">
        <v>41</v>
      </c>
      <c r="G244" s="4" t="s">
        <v>1434</v>
      </c>
      <c r="H244" s="4" t="s">
        <v>476</v>
      </c>
      <c r="I244" s="4" t="s">
        <v>780</v>
      </c>
      <c r="J244" s="7"/>
      <c r="K244" s="7" t="s">
        <v>1435</v>
      </c>
      <c r="L244" s="4" t="s">
        <v>782</v>
      </c>
      <c r="M244" s="4" t="s">
        <v>167</v>
      </c>
      <c r="N244" s="4" t="s">
        <v>250</v>
      </c>
      <c r="O244" s="4" t="s">
        <v>783</v>
      </c>
      <c r="P244" s="5">
        <v>46270.666666666664</v>
      </c>
      <c r="Q244" s="4" t="s">
        <v>1436</v>
      </c>
      <c r="R244" s="31" t="s">
        <v>31</v>
      </c>
      <c r="S244" s="33">
        <v>0</v>
      </c>
      <c r="T244" s="31" t="s">
        <v>94</v>
      </c>
      <c r="U244" s="33"/>
      <c r="V244" s="31" t="s">
        <v>110</v>
      </c>
      <c r="W244" s="7"/>
      <c r="X244" s="35">
        <v>46271.058773599536</v>
      </c>
      <c r="Y244" s="31" t="s">
        <v>785</v>
      </c>
      <c r="Z244" s="47"/>
      <c r="AA244" s="4"/>
      <c r="AB244" s="7"/>
    </row>
    <row r="245" spans="1:28" ht="42" customHeight="1">
      <c r="A245" s="6" t="s">
        <v>1437</v>
      </c>
      <c r="B245" s="4" t="s">
        <v>1438</v>
      </c>
      <c r="C245" s="4" t="s">
        <v>1438</v>
      </c>
      <c r="D245" s="4" t="s">
        <v>777</v>
      </c>
      <c r="E245" s="4" t="s">
        <v>778</v>
      </c>
      <c r="F245" s="4" t="s">
        <v>41</v>
      </c>
      <c r="G245" s="4" t="s">
        <v>1439</v>
      </c>
      <c r="H245" s="4" t="s">
        <v>788</v>
      </c>
      <c r="I245" s="4" t="s">
        <v>780</v>
      </c>
      <c r="J245" s="7"/>
      <c r="K245" s="7" t="s">
        <v>1440</v>
      </c>
      <c r="L245" s="4" t="s">
        <v>782</v>
      </c>
      <c r="M245" s="4" t="s">
        <v>167</v>
      </c>
      <c r="N245" s="4" t="s">
        <v>250</v>
      </c>
      <c r="O245" s="4" t="s">
        <v>783</v>
      </c>
      <c r="P245" s="5">
        <v>46270.666666666664</v>
      </c>
      <c r="Q245" s="4" t="s">
        <v>1441</v>
      </c>
      <c r="R245" s="31" t="s">
        <v>31</v>
      </c>
      <c r="S245" s="33">
        <v>0</v>
      </c>
      <c r="T245" s="31" t="s">
        <v>94</v>
      </c>
      <c r="U245" s="33"/>
      <c r="V245" s="31" t="s">
        <v>110</v>
      </c>
      <c r="W245" s="7"/>
      <c r="X245" s="35">
        <v>46271.058773599536</v>
      </c>
      <c r="Y245" s="31" t="s">
        <v>785</v>
      </c>
      <c r="Z245" s="47"/>
      <c r="AA245" s="4"/>
      <c r="AB245" s="7"/>
    </row>
    <row r="246" spans="1:28" ht="42" customHeight="1">
      <c r="A246" s="6" t="s">
        <v>1442</v>
      </c>
      <c r="B246" s="4" t="s">
        <v>1443</v>
      </c>
      <c r="C246" s="4" t="s">
        <v>1443</v>
      </c>
      <c r="D246" s="4" t="s">
        <v>777</v>
      </c>
      <c r="E246" s="4" t="s">
        <v>778</v>
      </c>
      <c r="F246" s="4" t="s">
        <v>41</v>
      </c>
      <c r="G246" s="4" t="s">
        <v>1387</v>
      </c>
      <c r="H246" s="4" t="s">
        <v>788</v>
      </c>
      <c r="I246" s="4" t="s">
        <v>780</v>
      </c>
      <c r="J246" s="7"/>
      <c r="K246" s="7" t="s">
        <v>1444</v>
      </c>
      <c r="L246" s="4" t="s">
        <v>782</v>
      </c>
      <c r="M246" s="4" t="s">
        <v>167</v>
      </c>
      <c r="N246" s="4" t="s">
        <v>250</v>
      </c>
      <c r="O246" s="4" t="s">
        <v>783</v>
      </c>
      <c r="P246" s="5">
        <v>46270.666666666664</v>
      </c>
      <c r="Q246" s="4" t="s">
        <v>1445</v>
      </c>
      <c r="R246" s="31" t="s">
        <v>31</v>
      </c>
      <c r="S246" s="33">
        <v>0</v>
      </c>
      <c r="T246" s="31" t="s">
        <v>94</v>
      </c>
      <c r="U246" s="33"/>
      <c r="V246" s="31" t="s">
        <v>110</v>
      </c>
      <c r="W246" s="7"/>
      <c r="X246" s="35">
        <v>46271.058773599536</v>
      </c>
      <c r="Y246" s="31" t="s">
        <v>785</v>
      </c>
      <c r="Z246" s="47"/>
      <c r="AA246" s="4"/>
      <c r="AB246" s="7"/>
    </row>
    <row r="247" spans="1:28" ht="42" customHeight="1">
      <c r="A247" s="6" t="s">
        <v>1446</v>
      </c>
      <c r="B247" s="4" t="s">
        <v>1447</v>
      </c>
      <c r="C247" s="4" t="s">
        <v>1447</v>
      </c>
      <c r="D247" s="4" t="s">
        <v>777</v>
      </c>
      <c r="E247" s="4" t="s">
        <v>778</v>
      </c>
      <c r="F247" s="4" t="s">
        <v>41</v>
      </c>
      <c r="G247" s="4" t="s">
        <v>1434</v>
      </c>
      <c r="H247" s="4" t="s">
        <v>1407</v>
      </c>
      <c r="I247" s="4" t="s">
        <v>780</v>
      </c>
      <c r="J247" s="7"/>
      <c r="K247" s="7" t="s">
        <v>1448</v>
      </c>
      <c r="L247" s="4" t="s">
        <v>782</v>
      </c>
      <c r="M247" s="4" t="s">
        <v>167</v>
      </c>
      <c r="N247" s="4" t="s">
        <v>250</v>
      </c>
      <c r="O247" s="4" t="s">
        <v>783</v>
      </c>
      <c r="P247" s="5">
        <v>46270.666666666664</v>
      </c>
      <c r="Q247" s="4" t="s">
        <v>1449</v>
      </c>
      <c r="R247" s="31" t="s">
        <v>31</v>
      </c>
      <c r="S247" s="33">
        <v>0</v>
      </c>
      <c r="T247" s="31" t="s">
        <v>94</v>
      </c>
      <c r="U247" s="33"/>
      <c r="V247" s="31" t="s">
        <v>110</v>
      </c>
      <c r="W247" s="7"/>
      <c r="X247" s="35">
        <v>46271.058773611112</v>
      </c>
      <c r="Y247" s="31" t="s">
        <v>785</v>
      </c>
      <c r="Z247" s="47"/>
      <c r="AA247" s="4"/>
      <c r="AB247" s="7"/>
    </row>
    <row r="248" spans="1:28" ht="42" customHeight="1">
      <c r="A248" s="6" t="s">
        <v>1450</v>
      </c>
      <c r="B248" s="4" t="s">
        <v>1451</v>
      </c>
      <c r="C248" s="4" t="s">
        <v>1451</v>
      </c>
      <c r="D248" s="4" t="s">
        <v>777</v>
      </c>
      <c r="E248" s="4" t="s">
        <v>778</v>
      </c>
      <c r="F248" s="4" t="s">
        <v>41</v>
      </c>
      <c r="G248" s="4" t="s">
        <v>85</v>
      </c>
      <c r="H248" s="4" t="s">
        <v>788</v>
      </c>
      <c r="I248" s="4" t="s">
        <v>780</v>
      </c>
      <c r="J248" s="7"/>
      <c r="K248" s="7" t="s">
        <v>1452</v>
      </c>
      <c r="L248" s="4" t="s">
        <v>782</v>
      </c>
      <c r="M248" s="4" t="s">
        <v>167</v>
      </c>
      <c r="N248" s="4" t="s">
        <v>250</v>
      </c>
      <c r="O248" s="4" t="s">
        <v>783</v>
      </c>
      <c r="P248" s="5">
        <v>46270.666666666664</v>
      </c>
      <c r="Q248" s="4" t="s">
        <v>1453</v>
      </c>
      <c r="R248" s="31" t="s">
        <v>31</v>
      </c>
      <c r="S248" s="33">
        <v>0</v>
      </c>
      <c r="T248" s="31" t="s">
        <v>94</v>
      </c>
      <c r="U248" s="33"/>
      <c r="V248" s="31" t="s">
        <v>110</v>
      </c>
      <c r="W248" s="7"/>
      <c r="X248" s="35">
        <v>46271.058773611112</v>
      </c>
      <c r="Y248" s="31" t="s">
        <v>785</v>
      </c>
      <c r="Z248" s="47"/>
      <c r="AA248" s="4"/>
      <c r="AB248" s="7"/>
    </row>
    <row r="249" spans="1:28" ht="42" customHeight="1">
      <c r="A249" s="6" t="s">
        <v>1454</v>
      </c>
      <c r="B249" s="4" t="s">
        <v>1455</v>
      </c>
      <c r="C249" s="4" t="s">
        <v>1455</v>
      </c>
      <c r="D249" s="4" t="s">
        <v>777</v>
      </c>
      <c r="E249" s="4" t="s">
        <v>778</v>
      </c>
      <c r="F249" s="4" t="s">
        <v>41</v>
      </c>
      <c r="G249" s="4" t="s">
        <v>1387</v>
      </c>
      <c r="H249" s="4" t="s">
        <v>1456</v>
      </c>
      <c r="I249" s="4" t="s">
        <v>780</v>
      </c>
      <c r="J249" s="7"/>
      <c r="K249" s="7" t="s">
        <v>1457</v>
      </c>
      <c r="L249" s="4" t="s">
        <v>782</v>
      </c>
      <c r="M249" s="4" t="s">
        <v>167</v>
      </c>
      <c r="N249" s="4" t="s">
        <v>250</v>
      </c>
      <c r="O249" s="4" t="s">
        <v>783</v>
      </c>
      <c r="P249" s="5">
        <v>46270.666666666664</v>
      </c>
      <c r="Q249" s="4" t="s">
        <v>1458</v>
      </c>
      <c r="R249" s="31" t="s">
        <v>31</v>
      </c>
      <c r="S249" s="33">
        <v>0</v>
      </c>
      <c r="T249" s="31" t="s">
        <v>94</v>
      </c>
      <c r="U249" s="33"/>
      <c r="V249" s="31" t="s">
        <v>110</v>
      </c>
      <c r="W249" s="7"/>
      <c r="X249" s="35">
        <v>46271.058773611112</v>
      </c>
      <c r="Y249" s="31" t="s">
        <v>785</v>
      </c>
      <c r="Z249" s="47"/>
      <c r="AA249" s="4"/>
      <c r="AB249" s="7"/>
    </row>
    <row r="250" spans="1:28" ht="42" customHeight="1">
      <c r="A250" s="6" t="s">
        <v>1459</v>
      </c>
      <c r="B250" s="4" t="s">
        <v>1460</v>
      </c>
      <c r="C250" s="4" t="s">
        <v>1460</v>
      </c>
      <c r="D250" s="4" t="s">
        <v>777</v>
      </c>
      <c r="E250" s="4" t="s">
        <v>778</v>
      </c>
      <c r="F250" s="4" t="s">
        <v>41</v>
      </c>
      <c r="G250" s="4" t="s">
        <v>1461</v>
      </c>
      <c r="H250" s="4" t="s">
        <v>1456</v>
      </c>
      <c r="I250" s="4" t="s">
        <v>780</v>
      </c>
      <c r="J250" s="7"/>
      <c r="K250" s="7" t="s">
        <v>1462</v>
      </c>
      <c r="L250" s="4" t="s">
        <v>782</v>
      </c>
      <c r="M250" s="4" t="s">
        <v>167</v>
      </c>
      <c r="N250" s="4" t="s">
        <v>250</v>
      </c>
      <c r="O250" s="4" t="s">
        <v>783</v>
      </c>
      <c r="P250" s="5">
        <v>46270.666666666664</v>
      </c>
      <c r="Q250" s="4" t="s">
        <v>1463</v>
      </c>
      <c r="R250" s="31" t="s">
        <v>31</v>
      </c>
      <c r="S250" s="33">
        <v>0</v>
      </c>
      <c r="T250" s="31" t="s">
        <v>94</v>
      </c>
      <c r="U250" s="33"/>
      <c r="V250" s="31" t="s">
        <v>110</v>
      </c>
      <c r="W250" s="7"/>
      <c r="X250" s="35">
        <v>46271.058773611112</v>
      </c>
      <c r="Y250" s="31" t="s">
        <v>785</v>
      </c>
      <c r="Z250" s="47"/>
      <c r="AA250" s="4"/>
      <c r="AB250" s="7"/>
    </row>
    <row r="251" spans="1:28" ht="42" customHeight="1">
      <c r="A251" s="6" t="s">
        <v>1464</v>
      </c>
      <c r="B251" s="4" t="s">
        <v>1465</v>
      </c>
      <c r="C251" s="4" t="s">
        <v>1465</v>
      </c>
      <c r="D251" s="4" t="s">
        <v>777</v>
      </c>
      <c r="E251" s="4" t="s">
        <v>778</v>
      </c>
      <c r="F251" s="4" t="s">
        <v>41</v>
      </c>
      <c r="G251" s="4" t="s">
        <v>1466</v>
      </c>
      <c r="H251" s="4" t="s">
        <v>476</v>
      </c>
      <c r="I251" s="4" t="s">
        <v>780</v>
      </c>
      <c r="J251" s="7"/>
      <c r="K251" s="7" t="s">
        <v>1467</v>
      </c>
      <c r="L251" s="4" t="s">
        <v>782</v>
      </c>
      <c r="M251" s="4" t="s">
        <v>167</v>
      </c>
      <c r="N251" s="4" t="s">
        <v>250</v>
      </c>
      <c r="O251" s="4" t="s">
        <v>783</v>
      </c>
      <c r="P251" s="5">
        <v>46270.666666666664</v>
      </c>
      <c r="Q251" s="4" t="s">
        <v>1468</v>
      </c>
      <c r="R251" s="31" t="s">
        <v>31</v>
      </c>
      <c r="S251" s="33">
        <v>0</v>
      </c>
      <c r="T251" s="31" t="s">
        <v>94</v>
      </c>
      <c r="U251" s="33"/>
      <c r="V251" s="31" t="s">
        <v>110</v>
      </c>
      <c r="W251" s="7"/>
      <c r="X251" s="35">
        <v>46271.058773611112</v>
      </c>
      <c r="Y251" s="31" t="s">
        <v>785</v>
      </c>
      <c r="Z251" s="47"/>
      <c r="AA251" s="4"/>
      <c r="AB251" s="7"/>
    </row>
    <row r="252" spans="1:28" ht="42" customHeight="1">
      <c r="A252" s="6" t="s">
        <v>1469</v>
      </c>
      <c r="B252" s="4" t="s">
        <v>1470</v>
      </c>
      <c r="C252" s="4" t="s">
        <v>1470</v>
      </c>
      <c r="D252" s="4" t="s">
        <v>777</v>
      </c>
      <c r="E252" s="4" t="s">
        <v>778</v>
      </c>
      <c r="F252" s="4" t="s">
        <v>41</v>
      </c>
      <c r="G252" s="4" t="s">
        <v>1471</v>
      </c>
      <c r="H252" s="4" t="s">
        <v>992</v>
      </c>
      <c r="I252" s="4" t="s">
        <v>780</v>
      </c>
      <c r="J252" s="7"/>
      <c r="K252" s="7" t="s">
        <v>1472</v>
      </c>
      <c r="L252" s="4" t="s">
        <v>782</v>
      </c>
      <c r="M252" s="4" t="s">
        <v>167</v>
      </c>
      <c r="N252" s="4" t="s">
        <v>250</v>
      </c>
      <c r="O252" s="4" t="s">
        <v>783</v>
      </c>
      <c r="P252" s="5">
        <v>46270.666666666664</v>
      </c>
      <c r="Q252" s="4" t="s">
        <v>1473</v>
      </c>
      <c r="R252" s="31" t="s">
        <v>31</v>
      </c>
      <c r="S252" s="33">
        <v>0</v>
      </c>
      <c r="T252" s="31" t="s">
        <v>94</v>
      </c>
      <c r="U252" s="33"/>
      <c r="V252" s="31" t="s">
        <v>110</v>
      </c>
      <c r="W252" s="7"/>
      <c r="X252" s="35">
        <v>46271.058773611112</v>
      </c>
      <c r="Y252" s="31" t="s">
        <v>785</v>
      </c>
      <c r="Z252" s="47"/>
      <c r="AA252" s="4"/>
      <c r="AB252" s="7"/>
    </row>
    <row r="253" spans="1:28" ht="42" customHeight="1">
      <c r="A253" s="6" t="s">
        <v>1474</v>
      </c>
      <c r="B253" s="4" t="s">
        <v>1475</v>
      </c>
      <c r="C253" s="4" t="s">
        <v>1475</v>
      </c>
      <c r="D253" s="4" t="s">
        <v>777</v>
      </c>
      <c r="E253" s="4" t="s">
        <v>778</v>
      </c>
      <c r="F253" s="4" t="s">
        <v>41</v>
      </c>
      <c r="G253" s="4"/>
      <c r="H253" s="4" t="s">
        <v>1286</v>
      </c>
      <c r="I253" s="4" t="s">
        <v>780</v>
      </c>
      <c r="J253" s="7"/>
      <c r="K253" s="7" t="s">
        <v>1476</v>
      </c>
      <c r="L253" s="4" t="s">
        <v>782</v>
      </c>
      <c r="M253" s="4" t="s">
        <v>167</v>
      </c>
      <c r="N253" s="4" t="s">
        <v>250</v>
      </c>
      <c r="O253" s="4" t="s">
        <v>783</v>
      </c>
      <c r="P253" s="5">
        <v>46270.666666666664</v>
      </c>
      <c r="Q253" s="4" t="s">
        <v>1477</v>
      </c>
      <c r="R253" s="31" t="s">
        <v>31</v>
      </c>
      <c r="S253" s="33">
        <v>0</v>
      </c>
      <c r="T253" s="31" t="s">
        <v>94</v>
      </c>
      <c r="U253" s="33"/>
      <c r="V253" s="31" t="s">
        <v>110</v>
      </c>
      <c r="W253" s="7"/>
      <c r="X253" s="35">
        <v>46271.058773611112</v>
      </c>
      <c r="Y253" s="31" t="s">
        <v>785</v>
      </c>
      <c r="Z253" s="47"/>
      <c r="AA253" s="4"/>
      <c r="AB253" s="7"/>
    </row>
    <row r="254" spans="1:28" ht="42" customHeight="1">
      <c r="A254" s="6" t="s">
        <v>1478</v>
      </c>
      <c r="B254" s="4" t="s">
        <v>1479</v>
      </c>
      <c r="C254" s="4" t="s">
        <v>1479</v>
      </c>
      <c r="D254" s="4" t="s">
        <v>777</v>
      </c>
      <c r="E254" s="4" t="s">
        <v>778</v>
      </c>
      <c r="F254" s="4" t="s">
        <v>41</v>
      </c>
      <c r="G254" s="4" t="s">
        <v>1480</v>
      </c>
      <c r="H254" s="4" t="s">
        <v>788</v>
      </c>
      <c r="I254" s="4" t="s">
        <v>780</v>
      </c>
      <c r="J254" s="7"/>
      <c r="K254" s="7" t="s">
        <v>1481</v>
      </c>
      <c r="L254" s="4" t="s">
        <v>782</v>
      </c>
      <c r="M254" s="4" t="s">
        <v>167</v>
      </c>
      <c r="N254" s="4" t="s">
        <v>250</v>
      </c>
      <c r="O254" s="4" t="s">
        <v>783</v>
      </c>
      <c r="P254" s="5">
        <v>46270.666666666664</v>
      </c>
      <c r="Q254" s="4" t="s">
        <v>1482</v>
      </c>
      <c r="R254" s="31" t="s">
        <v>31</v>
      </c>
      <c r="S254" s="33">
        <v>0</v>
      </c>
      <c r="T254" s="31" t="s">
        <v>94</v>
      </c>
      <c r="U254" s="33"/>
      <c r="V254" s="31" t="s">
        <v>110</v>
      </c>
      <c r="W254" s="7"/>
      <c r="X254" s="35">
        <v>46271.058773611112</v>
      </c>
      <c r="Y254" s="31" t="s">
        <v>785</v>
      </c>
      <c r="Z254" s="47"/>
      <c r="AA254" s="4"/>
      <c r="AB254" s="7"/>
    </row>
    <row r="255" spans="1:28" ht="42" customHeight="1">
      <c r="A255" s="6" t="s">
        <v>1483</v>
      </c>
      <c r="B255" s="4" t="s">
        <v>1484</v>
      </c>
      <c r="C255" s="4" t="s">
        <v>1484</v>
      </c>
      <c r="D255" s="4" t="s">
        <v>777</v>
      </c>
      <c r="E255" s="4" t="s">
        <v>778</v>
      </c>
      <c r="F255" s="4" t="s">
        <v>41</v>
      </c>
      <c r="G255" s="4" t="s">
        <v>1485</v>
      </c>
      <c r="H255" s="4" t="s">
        <v>948</v>
      </c>
      <c r="I255" s="4" t="s">
        <v>780</v>
      </c>
      <c r="J255" s="7"/>
      <c r="K255" s="7" t="s">
        <v>1486</v>
      </c>
      <c r="L255" s="4" t="s">
        <v>782</v>
      </c>
      <c r="M255" s="4" t="s">
        <v>167</v>
      </c>
      <c r="N255" s="4" t="s">
        <v>250</v>
      </c>
      <c r="O255" s="4" t="s">
        <v>783</v>
      </c>
      <c r="P255" s="5">
        <v>46270.666666666664</v>
      </c>
      <c r="Q255" s="4" t="s">
        <v>1487</v>
      </c>
      <c r="R255" s="31" t="s">
        <v>31</v>
      </c>
      <c r="S255" s="33">
        <v>0</v>
      </c>
      <c r="T255" s="31" t="s">
        <v>94</v>
      </c>
      <c r="U255" s="33"/>
      <c r="V255" s="31" t="s">
        <v>110</v>
      </c>
      <c r="W255" s="7"/>
      <c r="X255" s="35">
        <v>46271.058773611112</v>
      </c>
      <c r="Y255" s="31" t="s">
        <v>785</v>
      </c>
      <c r="Z255" s="47"/>
      <c r="AA255" s="4"/>
      <c r="AB255" s="7"/>
    </row>
    <row r="256" spans="1:28" ht="42" customHeight="1">
      <c r="A256" s="6" t="s">
        <v>1488</v>
      </c>
      <c r="B256" s="4" t="s">
        <v>1489</v>
      </c>
      <c r="C256" s="4" t="s">
        <v>1489</v>
      </c>
      <c r="D256" s="4" t="s">
        <v>777</v>
      </c>
      <c r="E256" s="4" t="s">
        <v>778</v>
      </c>
      <c r="F256" s="4" t="s">
        <v>41</v>
      </c>
      <c r="G256" s="4" t="s">
        <v>1480</v>
      </c>
      <c r="H256" s="4" t="s">
        <v>788</v>
      </c>
      <c r="I256" s="4" t="s">
        <v>780</v>
      </c>
      <c r="J256" s="7"/>
      <c r="K256" s="7" t="s">
        <v>1490</v>
      </c>
      <c r="L256" s="4" t="s">
        <v>782</v>
      </c>
      <c r="M256" s="4" t="s">
        <v>167</v>
      </c>
      <c r="N256" s="4" t="s">
        <v>250</v>
      </c>
      <c r="O256" s="4" t="s">
        <v>783</v>
      </c>
      <c r="P256" s="5">
        <v>46270.666666666664</v>
      </c>
      <c r="Q256" s="4" t="s">
        <v>1491</v>
      </c>
      <c r="R256" s="31" t="s">
        <v>31</v>
      </c>
      <c r="S256" s="33">
        <v>0</v>
      </c>
      <c r="T256" s="31" t="s">
        <v>94</v>
      </c>
      <c r="U256" s="33"/>
      <c r="V256" s="31" t="s">
        <v>110</v>
      </c>
      <c r="W256" s="7"/>
      <c r="X256" s="35">
        <v>46271.058773611112</v>
      </c>
      <c r="Y256" s="31" t="s">
        <v>785</v>
      </c>
      <c r="Z256" s="47"/>
      <c r="AA256" s="4"/>
      <c r="AB256" s="7"/>
    </row>
    <row r="257" spans="1:28" ht="42" customHeight="1">
      <c r="A257" s="6" t="s">
        <v>1492</v>
      </c>
      <c r="B257" s="4" t="s">
        <v>1493</v>
      </c>
      <c r="C257" s="4" t="s">
        <v>1493</v>
      </c>
      <c r="D257" s="4" t="s">
        <v>777</v>
      </c>
      <c r="E257" s="4" t="s">
        <v>778</v>
      </c>
      <c r="F257" s="4" t="s">
        <v>41</v>
      </c>
      <c r="G257" s="4"/>
      <c r="H257" s="4" t="s">
        <v>948</v>
      </c>
      <c r="I257" s="4" t="s">
        <v>780</v>
      </c>
      <c r="J257" s="7"/>
      <c r="K257" s="7" t="s">
        <v>1494</v>
      </c>
      <c r="L257" s="4" t="s">
        <v>782</v>
      </c>
      <c r="M257" s="4" t="s">
        <v>167</v>
      </c>
      <c r="N257" s="4" t="s">
        <v>250</v>
      </c>
      <c r="O257" s="4" t="s">
        <v>783</v>
      </c>
      <c r="P257" s="5">
        <v>46270.666666666664</v>
      </c>
      <c r="Q257" s="4" t="s">
        <v>1495</v>
      </c>
      <c r="R257" s="31" t="s">
        <v>31</v>
      </c>
      <c r="S257" s="33">
        <v>0</v>
      </c>
      <c r="T257" s="31" t="s">
        <v>94</v>
      </c>
      <c r="U257" s="33"/>
      <c r="V257" s="31" t="s">
        <v>110</v>
      </c>
      <c r="W257" s="7"/>
      <c r="X257" s="35">
        <v>46271.058773611112</v>
      </c>
      <c r="Y257" s="31" t="s">
        <v>785</v>
      </c>
      <c r="Z257" s="47"/>
      <c r="AA257" s="4"/>
      <c r="AB257" s="7"/>
    </row>
    <row r="258" spans="1:28" ht="42" customHeight="1">
      <c r="A258" s="6" t="s">
        <v>1496</v>
      </c>
      <c r="B258" s="4" t="s">
        <v>1497</v>
      </c>
      <c r="C258" s="4" t="s">
        <v>1497</v>
      </c>
      <c r="D258" s="4" t="s">
        <v>777</v>
      </c>
      <c r="E258" s="4" t="s">
        <v>778</v>
      </c>
      <c r="F258" s="4" t="s">
        <v>41</v>
      </c>
      <c r="G258" s="4"/>
      <c r="H258" s="4" t="s">
        <v>788</v>
      </c>
      <c r="I258" s="4" t="s">
        <v>780</v>
      </c>
      <c r="J258" s="7"/>
      <c r="K258" s="7" t="s">
        <v>1498</v>
      </c>
      <c r="L258" s="4" t="s">
        <v>782</v>
      </c>
      <c r="M258" s="4" t="s">
        <v>167</v>
      </c>
      <c r="N258" s="4" t="s">
        <v>250</v>
      </c>
      <c r="O258" s="4" t="s">
        <v>783</v>
      </c>
      <c r="P258" s="5">
        <v>46270.666666666664</v>
      </c>
      <c r="Q258" s="4" t="s">
        <v>1499</v>
      </c>
      <c r="R258" s="31" t="s">
        <v>31</v>
      </c>
      <c r="S258" s="33">
        <v>0</v>
      </c>
      <c r="T258" s="31" t="s">
        <v>94</v>
      </c>
      <c r="U258" s="33"/>
      <c r="V258" s="31" t="s">
        <v>110</v>
      </c>
      <c r="W258" s="7"/>
      <c r="X258" s="35">
        <v>46271.058773611112</v>
      </c>
      <c r="Y258" s="31" t="s">
        <v>785</v>
      </c>
      <c r="Z258" s="47"/>
      <c r="AA258" s="4"/>
      <c r="AB258" s="7"/>
    </row>
    <row r="259" spans="1:28" ht="42" customHeight="1">
      <c r="A259" s="6" t="s">
        <v>1500</v>
      </c>
      <c r="B259" s="4" t="s">
        <v>1501</v>
      </c>
      <c r="C259" s="4" t="s">
        <v>1501</v>
      </c>
      <c r="D259" s="4" t="s">
        <v>777</v>
      </c>
      <c r="E259" s="4" t="s">
        <v>778</v>
      </c>
      <c r="F259" s="4" t="s">
        <v>41</v>
      </c>
      <c r="G259" s="4" t="s">
        <v>85</v>
      </c>
      <c r="H259" s="4" t="s">
        <v>974</v>
      </c>
      <c r="I259" s="4" t="s">
        <v>780</v>
      </c>
      <c r="J259" s="7"/>
      <c r="K259" s="7" t="s">
        <v>1502</v>
      </c>
      <c r="L259" s="4" t="s">
        <v>782</v>
      </c>
      <c r="M259" s="4" t="s">
        <v>167</v>
      </c>
      <c r="N259" s="4" t="s">
        <v>250</v>
      </c>
      <c r="O259" s="4" t="s">
        <v>783</v>
      </c>
      <c r="P259" s="5">
        <v>46270.666666666664</v>
      </c>
      <c r="Q259" s="4" t="s">
        <v>1503</v>
      </c>
      <c r="R259" s="31" t="s">
        <v>31</v>
      </c>
      <c r="S259" s="33">
        <v>0</v>
      </c>
      <c r="T259" s="31" t="s">
        <v>94</v>
      </c>
      <c r="U259" s="33"/>
      <c r="V259" s="31" t="s">
        <v>110</v>
      </c>
      <c r="W259" s="7"/>
      <c r="X259" s="35">
        <v>46271.058773611112</v>
      </c>
      <c r="Y259" s="31" t="s">
        <v>785</v>
      </c>
      <c r="Z259" s="47"/>
      <c r="AA259" s="4"/>
      <c r="AB259" s="7"/>
    </row>
    <row r="260" spans="1:28" ht="42" customHeight="1">
      <c r="A260" s="6" t="s">
        <v>1504</v>
      </c>
      <c r="B260" s="4" t="s">
        <v>1505</v>
      </c>
      <c r="C260" s="4" t="s">
        <v>1505</v>
      </c>
      <c r="D260" s="4" t="s">
        <v>777</v>
      </c>
      <c r="E260" s="4" t="s">
        <v>778</v>
      </c>
      <c r="F260" s="4" t="s">
        <v>41</v>
      </c>
      <c r="G260" s="4" t="s">
        <v>1392</v>
      </c>
      <c r="H260" s="4" t="s">
        <v>788</v>
      </c>
      <c r="I260" s="4" t="s">
        <v>780</v>
      </c>
      <c r="J260" s="7"/>
      <c r="K260" s="7" t="s">
        <v>1506</v>
      </c>
      <c r="L260" s="4" t="s">
        <v>782</v>
      </c>
      <c r="M260" s="4" t="s">
        <v>167</v>
      </c>
      <c r="N260" s="4" t="s">
        <v>250</v>
      </c>
      <c r="O260" s="4" t="s">
        <v>783</v>
      </c>
      <c r="P260" s="5">
        <v>46270.666666666664</v>
      </c>
      <c r="Q260" s="4" t="s">
        <v>1507</v>
      </c>
      <c r="R260" s="31" t="s">
        <v>31</v>
      </c>
      <c r="S260" s="33">
        <v>0</v>
      </c>
      <c r="T260" s="31" t="s">
        <v>94</v>
      </c>
      <c r="U260" s="33"/>
      <c r="V260" s="31" t="s">
        <v>110</v>
      </c>
      <c r="W260" s="7"/>
      <c r="X260" s="35">
        <v>46271.058773611112</v>
      </c>
      <c r="Y260" s="31" t="s">
        <v>785</v>
      </c>
      <c r="Z260" s="47"/>
      <c r="AA260" s="4"/>
      <c r="AB260" s="7"/>
    </row>
    <row r="261" spans="1:28" ht="42" customHeight="1">
      <c r="A261" s="6" t="s">
        <v>1508</v>
      </c>
      <c r="B261" s="4" t="s">
        <v>1509</v>
      </c>
      <c r="C261" s="4" t="s">
        <v>1509</v>
      </c>
      <c r="D261" s="4" t="s">
        <v>777</v>
      </c>
      <c r="E261" s="4" t="s">
        <v>778</v>
      </c>
      <c r="F261" s="4" t="s">
        <v>41</v>
      </c>
      <c r="G261" s="4" t="s">
        <v>1510</v>
      </c>
      <c r="H261" s="4" t="s">
        <v>948</v>
      </c>
      <c r="I261" s="4" t="s">
        <v>780</v>
      </c>
      <c r="J261" s="7"/>
      <c r="K261" s="7" t="s">
        <v>1511</v>
      </c>
      <c r="L261" s="4" t="s">
        <v>782</v>
      </c>
      <c r="M261" s="4" t="s">
        <v>167</v>
      </c>
      <c r="N261" s="4" t="s">
        <v>250</v>
      </c>
      <c r="O261" s="4" t="s">
        <v>783</v>
      </c>
      <c r="P261" s="5">
        <v>46270.666666666664</v>
      </c>
      <c r="Q261" s="4" t="s">
        <v>1512</v>
      </c>
      <c r="R261" s="31" t="s">
        <v>31</v>
      </c>
      <c r="S261" s="33">
        <v>0</v>
      </c>
      <c r="T261" s="31" t="s">
        <v>94</v>
      </c>
      <c r="U261" s="33"/>
      <c r="V261" s="31" t="s">
        <v>110</v>
      </c>
      <c r="W261" s="7"/>
      <c r="X261" s="35">
        <v>46271.058773611112</v>
      </c>
      <c r="Y261" s="31" t="s">
        <v>785</v>
      </c>
      <c r="Z261" s="47"/>
      <c r="AA261" s="4"/>
      <c r="AB261" s="7"/>
    </row>
    <row r="262" spans="1:28" ht="42" customHeight="1">
      <c r="A262" s="6" t="s">
        <v>1513</v>
      </c>
      <c r="B262" s="4" t="s">
        <v>1514</v>
      </c>
      <c r="C262" s="4" t="s">
        <v>1514</v>
      </c>
      <c r="D262" s="4" t="s">
        <v>777</v>
      </c>
      <c r="E262" s="4" t="s">
        <v>778</v>
      </c>
      <c r="F262" s="4" t="s">
        <v>41</v>
      </c>
      <c r="G262" s="4" t="s">
        <v>85</v>
      </c>
      <c r="H262" s="4" t="s">
        <v>788</v>
      </c>
      <c r="I262" s="4" t="s">
        <v>780</v>
      </c>
      <c r="J262" s="7"/>
      <c r="K262" s="7" t="s">
        <v>1515</v>
      </c>
      <c r="L262" s="4" t="s">
        <v>782</v>
      </c>
      <c r="M262" s="4" t="s">
        <v>167</v>
      </c>
      <c r="N262" s="4" t="s">
        <v>250</v>
      </c>
      <c r="O262" s="4" t="s">
        <v>783</v>
      </c>
      <c r="P262" s="5">
        <v>46270.666666666664</v>
      </c>
      <c r="Q262" s="4" t="s">
        <v>1516</v>
      </c>
      <c r="R262" s="31" t="s">
        <v>31</v>
      </c>
      <c r="S262" s="33">
        <v>0</v>
      </c>
      <c r="T262" s="31" t="s">
        <v>94</v>
      </c>
      <c r="U262" s="33"/>
      <c r="V262" s="31" t="s">
        <v>110</v>
      </c>
      <c r="W262" s="7"/>
      <c r="X262" s="35">
        <v>46271.058773611112</v>
      </c>
      <c r="Y262" s="31" t="s">
        <v>785</v>
      </c>
      <c r="Z262" s="47"/>
      <c r="AA262" s="4"/>
      <c r="AB262" s="7"/>
    </row>
    <row r="263" spans="1:28" ht="42" customHeight="1">
      <c r="A263" s="6" t="s">
        <v>1517</v>
      </c>
      <c r="B263" s="4" t="s">
        <v>1518</v>
      </c>
      <c r="C263" s="4" t="s">
        <v>1518</v>
      </c>
      <c r="D263" s="4" t="s">
        <v>777</v>
      </c>
      <c r="E263" s="4" t="s">
        <v>778</v>
      </c>
      <c r="F263" s="4" t="s">
        <v>41</v>
      </c>
      <c r="G263" s="4" t="s">
        <v>1519</v>
      </c>
      <c r="H263" s="4" t="s">
        <v>1520</v>
      </c>
      <c r="I263" s="4" t="s">
        <v>780</v>
      </c>
      <c r="J263" s="7"/>
      <c r="K263" s="7" t="s">
        <v>1521</v>
      </c>
      <c r="L263" s="4" t="s">
        <v>782</v>
      </c>
      <c r="M263" s="4" t="s">
        <v>167</v>
      </c>
      <c r="N263" s="4" t="s">
        <v>250</v>
      </c>
      <c r="O263" s="4" t="s">
        <v>783</v>
      </c>
      <c r="P263" s="5">
        <v>46270.666666666664</v>
      </c>
      <c r="Q263" s="4" t="s">
        <v>1522</v>
      </c>
      <c r="R263" s="31" t="s">
        <v>31</v>
      </c>
      <c r="S263" s="33">
        <v>0</v>
      </c>
      <c r="T263" s="31" t="s">
        <v>94</v>
      </c>
      <c r="U263" s="33"/>
      <c r="V263" s="31" t="s">
        <v>110</v>
      </c>
      <c r="W263" s="7"/>
      <c r="X263" s="35">
        <v>46271.058773611112</v>
      </c>
      <c r="Y263" s="31" t="s">
        <v>785</v>
      </c>
      <c r="Z263" s="47"/>
      <c r="AA263" s="4"/>
      <c r="AB263" s="7"/>
    </row>
    <row r="264" spans="1:28" ht="42" customHeight="1">
      <c r="A264" s="6" t="s">
        <v>1523</v>
      </c>
      <c r="B264" s="4" t="s">
        <v>1524</v>
      </c>
      <c r="C264" s="4" t="s">
        <v>1524</v>
      </c>
      <c r="D264" s="4" t="s">
        <v>777</v>
      </c>
      <c r="E264" s="4" t="s">
        <v>778</v>
      </c>
      <c r="F264" s="4" t="s">
        <v>41</v>
      </c>
      <c r="G264" s="4" t="s">
        <v>1525</v>
      </c>
      <c r="H264" s="4" t="s">
        <v>788</v>
      </c>
      <c r="I264" s="4" t="s">
        <v>780</v>
      </c>
      <c r="J264" s="7"/>
      <c r="K264" s="7" t="s">
        <v>1526</v>
      </c>
      <c r="L264" s="4" t="s">
        <v>782</v>
      </c>
      <c r="M264" s="4" t="s">
        <v>167</v>
      </c>
      <c r="N264" s="4" t="s">
        <v>250</v>
      </c>
      <c r="O264" s="4" t="s">
        <v>783</v>
      </c>
      <c r="P264" s="5">
        <v>46270.666666666664</v>
      </c>
      <c r="Q264" s="4" t="s">
        <v>1527</v>
      </c>
      <c r="R264" s="31" t="s">
        <v>31</v>
      </c>
      <c r="S264" s="33">
        <v>0</v>
      </c>
      <c r="T264" s="31" t="s">
        <v>94</v>
      </c>
      <c r="U264" s="33"/>
      <c r="V264" s="31" t="s">
        <v>110</v>
      </c>
      <c r="W264" s="7"/>
      <c r="X264" s="35">
        <v>46271.058773611112</v>
      </c>
      <c r="Y264" s="31" t="s">
        <v>785</v>
      </c>
      <c r="Z264" s="47"/>
      <c r="AA264" s="4"/>
      <c r="AB264" s="7"/>
    </row>
    <row r="265" spans="1:28" ht="42" customHeight="1">
      <c r="A265" s="6" t="s">
        <v>1528</v>
      </c>
      <c r="B265" s="4" t="s">
        <v>1529</v>
      </c>
      <c r="C265" s="4" t="s">
        <v>1529</v>
      </c>
      <c r="D265" s="4" t="s">
        <v>777</v>
      </c>
      <c r="E265" s="4" t="s">
        <v>778</v>
      </c>
      <c r="F265" s="4" t="s">
        <v>41</v>
      </c>
      <c r="G265" s="4" t="s">
        <v>85</v>
      </c>
      <c r="H265" s="4" t="s">
        <v>181</v>
      </c>
      <c r="I265" s="4" t="s">
        <v>780</v>
      </c>
      <c r="J265" s="7"/>
      <c r="K265" s="7" t="s">
        <v>1530</v>
      </c>
      <c r="L265" s="4" t="s">
        <v>782</v>
      </c>
      <c r="M265" s="4" t="s">
        <v>167</v>
      </c>
      <c r="N265" s="4" t="s">
        <v>250</v>
      </c>
      <c r="O265" s="4" t="s">
        <v>783</v>
      </c>
      <c r="P265" s="5">
        <v>46270.666666666664</v>
      </c>
      <c r="Q265" s="4" t="s">
        <v>1531</v>
      </c>
      <c r="R265" s="31" t="s">
        <v>31</v>
      </c>
      <c r="S265" s="33">
        <v>0</v>
      </c>
      <c r="T265" s="31" t="s">
        <v>94</v>
      </c>
      <c r="U265" s="33"/>
      <c r="V265" s="31" t="s">
        <v>110</v>
      </c>
      <c r="W265" s="7"/>
      <c r="X265" s="35">
        <v>46271.058773611112</v>
      </c>
      <c r="Y265" s="31" t="s">
        <v>785</v>
      </c>
      <c r="Z265" s="47"/>
      <c r="AA265" s="4"/>
      <c r="AB265" s="7"/>
    </row>
    <row r="266" spans="1:28" ht="42" customHeight="1">
      <c r="A266" s="6" t="s">
        <v>1532</v>
      </c>
      <c r="B266" s="4" t="s">
        <v>1533</v>
      </c>
      <c r="C266" s="4" t="s">
        <v>1533</v>
      </c>
      <c r="D266" s="4" t="s">
        <v>777</v>
      </c>
      <c r="E266" s="4" t="s">
        <v>778</v>
      </c>
      <c r="F266" s="4" t="s">
        <v>41</v>
      </c>
      <c r="G266" s="4" t="s">
        <v>1510</v>
      </c>
      <c r="H266" s="4" t="s">
        <v>1534</v>
      </c>
      <c r="I266" s="4" t="s">
        <v>780</v>
      </c>
      <c r="J266" s="7"/>
      <c r="K266" s="7" t="s">
        <v>1535</v>
      </c>
      <c r="L266" s="4" t="s">
        <v>782</v>
      </c>
      <c r="M266" s="4" t="s">
        <v>167</v>
      </c>
      <c r="N266" s="4" t="s">
        <v>250</v>
      </c>
      <c r="O266" s="4" t="s">
        <v>783</v>
      </c>
      <c r="P266" s="5">
        <v>46270.666666666664</v>
      </c>
      <c r="Q266" s="4" t="s">
        <v>1536</v>
      </c>
      <c r="R266" s="31" t="s">
        <v>31</v>
      </c>
      <c r="S266" s="33">
        <v>0</v>
      </c>
      <c r="T266" s="31" t="s">
        <v>94</v>
      </c>
      <c r="U266" s="33"/>
      <c r="V266" s="31" t="s">
        <v>110</v>
      </c>
      <c r="W266" s="7"/>
      <c r="X266" s="35">
        <v>46271.058773611112</v>
      </c>
      <c r="Y266" s="31" t="s">
        <v>785</v>
      </c>
      <c r="Z266" s="47"/>
      <c r="AA266" s="4"/>
      <c r="AB266" s="7"/>
    </row>
    <row r="267" spans="1:28" ht="42" customHeight="1">
      <c r="A267" s="6" t="s">
        <v>1537</v>
      </c>
      <c r="B267" s="4" t="s">
        <v>1538</v>
      </c>
      <c r="C267" s="4" t="s">
        <v>1538</v>
      </c>
      <c r="D267" s="4" t="s">
        <v>777</v>
      </c>
      <c r="E267" s="4" t="s">
        <v>778</v>
      </c>
      <c r="F267" s="4" t="s">
        <v>41</v>
      </c>
      <c r="G267" s="4" t="s">
        <v>1471</v>
      </c>
      <c r="H267" s="4" t="s">
        <v>992</v>
      </c>
      <c r="I267" s="4" t="s">
        <v>780</v>
      </c>
      <c r="J267" s="7"/>
      <c r="K267" s="7" t="s">
        <v>1539</v>
      </c>
      <c r="L267" s="4" t="s">
        <v>782</v>
      </c>
      <c r="M267" s="4" t="s">
        <v>167</v>
      </c>
      <c r="N267" s="4" t="s">
        <v>250</v>
      </c>
      <c r="O267" s="4" t="s">
        <v>783</v>
      </c>
      <c r="P267" s="5">
        <v>46270.666666666664</v>
      </c>
      <c r="Q267" s="4" t="s">
        <v>1540</v>
      </c>
      <c r="R267" s="31" t="s">
        <v>31</v>
      </c>
      <c r="S267" s="33">
        <v>0</v>
      </c>
      <c r="T267" s="31" t="s">
        <v>94</v>
      </c>
      <c r="U267" s="33"/>
      <c r="V267" s="31" t="s">
        <v>110</v>
      </c>
      <c r="W267" s="7"/>
      <c r="X267" s="35">
        <v>46271.058773611112</v>
      </c>
      <c r="Y267" s="31" t="s">
        <v>785</v>
      </c>
      <c r="Z267" s="47"/>
      <c r="AA267" s="4"/>
      <c r="AB267" s="7"/>
    </row>
    <row r="268" spans="1:28" ht="42" customHeight="1">
      <c r="A268" s="6" t="s">
        <v>1541</v>
      </c>
      <c r="B268" s="4" t="s">
        <v>1542</v>
      </c>
      <c r="C268" s="4" t="s">
        <v>1542</v>
      </c>
      <c r="D268" s="4" t="s">
        <v>777</v>
      </c>
      <c r="E268" s="4" t="s">
        <v>778</v>
      </c>
      <c r="F268" s="4" t="s">
        <v>41</v>
      </c>
      <c r="G268" s="4"/>
      <c r="H268" s="4" t="s">
        <v>948</v>
      </c>
      <c r="I268" s="4" t="s">
        <v>780</v>
      </c>
      <c r="J268" s="7"/>
      <c r="K268" s="7" t="s">
        <v>1543</v>
      </c>
      <c r="L268" s="4" t="s">
        <v>782</v>
      </c>
      <c r="M268" s="4" t="s">
        <v>167</v>
      </c>
      <c r="N268" s="4" t="s">
        <v>250</v>
      </c>
      <c r="O268" s="4" t="s">
        <v>783</v>
      </c>
      <c r="P268" s="5">
        <v>46270.666666666664</v>
      </c>
      <c r="Q268" s="4" t="s">
        <v>1544</v>
      </c>
      <c r="R268" s="31" t="s">
        <v>31</v>
      </c>
      <c r="S268" s="33">
        <v>0</v>
      </c>
      <c r="T268" s="31" t="s">
        <v>94</v>
      </c>
      <c r="U268" s="33"/>
      <c r="V268" s="31" t="s">
        <v>110</v>
      </c>
      <c r="W268" s="7"/>
      <c r="X268" s="35">
        <v>46271.058773611112</v>
      </c>
      <c r="Y268" s="31" t="s">
        <v>785</v>
      </c>
      <c r="Z268" s="47"/>
      <c r="AA268" s="4"/>
      <c r="AB268" s="7"/>
    </row>
    <row r="269" spans="1:28" ht="42" customHeight="1">
      <c r="A269" s="6" t="s">
        <v>1545</v>
      </c>
      <c r="B269" s="4" t="s">
        <v>1546</v>
      </c>
      <c r="C269" s="4" t="s">
        <v>1546</v>
      </c>
      <c r="D269" s="4" t="s">
        <v>777</v>
      </c>
      <c r="E269" s="4" t="s">
        <v>778</v>
      </c>
      <c r="F269" s="4" t="s">
        <v>41</v>
      </c>
      <c r="G269" s="4" t="s">
        <v>1547</v>
      </c>
      <c r="H269" s="4" t="s">
        <v>788</v>
      </c>
      <c r="I269" s="4" t="s">
        <v>780</v>
      </c>
      <c r="J269" s="7"/>
      <c r="K269" s="7" t="s">
        <v>1548</v>
      </c>
      <c r="L269" s="4" t="s">
        <v>782</v>
      </c>
      <c r="M269" s="4" t="s">
        <v>167</v>
      </c>
      <c r="N269" s="4" t="s">
        <v>250</v>
      </c>
      <c r="O269" s="4" t="s">
        <v>783</v>
      </c>
      <c r="P269" s="5">
        <v>46270.666666666664</v>
      </c>
      <c r="Q269" s="4" t="s">
        <v>1549</v>
      </c>
      <c r="R269" s="31" t="s">
        <v>31</v>
      </c>
      <c r="S269" s="33">
        <v>0</v>
      </c>
      <c r="T269" s="31" t="s">
        <v>94</v>
      </c>
      <c r="U269" s="33"/>
      <c r="V269" s="31" t="s">
        <v>110</v>
      </c>
      <c r="W269" s="7"/>
      <c r="X269" s="35">
        <v>46271.058773611112</v>
      </c>
      <c r="Y269" s="31" t="s">
        <v>785</v>
      </c>
      <c r="Z269" s="47"/>
      <c r="AA269" s="4"/>
      <c r="AB269" s="7"/>
    </row>
    <row r="270" spans="1:28" ht="42" customHeight="1">
      <c r="A270" s="6" t="s">
        <v>1550</v>
      </c>
      <c r="B270" s="4" t="s">
        <v>1551</v>
      </c>
      <c r="C270" s="4" t="s">
        <v>1551</v>
      </c>
      <c r="D270" s="4" t="s">
        <v>777</v>
      </c>
      <c r="E270" s="4" t="s">
        <v>778</v>
      </c>
      <c r="F270" s="4" t="s">
        <v>41</v>
      </c>
      <c r="G270" s="4" t="s">
        <v>1387</v>
      </c>
      <c r="H270" s="4" t="s">
        <v>788</v>
      </c>
      <c r="I270" s="4" t="s">
        <v>780</v>
      </c>
      <c r="J270" s="7"/>
      <c r="K270" s="7" t="s">
        <v>1552</v>
      </c>
      <c r="L270" s="4" t="s">
        <v>782</v>
      </c>
      <c r="M270" s="4" t="s">
        <v>167</v>
      </c>
      <c r="N270" s="4" t="s">
        <v>250</v>
      </c>
      <c r="O270" s="4" t="s">
        <v>783</v>
      </c>
      <c r="P270" s="5">
        <v>46270.666666666664</v>
      </c>
      <c r="Q270" s="4" t="s">
        <v>1553</v>
      </c>
      <c r="R270" s="31" t="s">
        <v>31</v>
      </c>
      <c r="S270" s="33">
        <v>0</v>
      </c>
      <c r="T270" s="31" t="s">
        <v>94</v>
      </c>
      <c r="U270" s="33"/>
      <c r="V270" s="31" t="s">
        <v>110</v>
      </c>
      <c r="W270" s="7"/>
      <c r="X270" s="35">
        <v>46271.058773611112</v>
      </c>
      <c r="Y270" s="31" t="s">
        <v>785</v>
      </c>
      <c r="Z270" s="47"/>
      <c r="AA270" s="4"/>
      <c r="AB270" s="7"/>
    </row>
    <row r="271" spans="1:28" ht="42" customHeight="1">
      <c r="A271" s="6" t="s">
        <v>1554</v>
      </c>
      <c r="B271" s="4" t="s">
        <v>1555</v>
      </c>
      <c r="C271" s="4" t="s">
        <v>1555</v>
      </c>
      <c r="D271" s="4" t="s">
        <v>777</v>
      </c>
      <c r="E271" s="4" t="s">
        <v>778</v>
      </c>
      <c r="F271" s="4" t="s">
        <v>41</v>
      </c>
      <c r="G271" s="4" t="s">
        <v>1510</v>
      </c>
      <c r="H271" s="4" t="s">
        <v>788</v>
      </c>
      <c r="I271" s="4" t="s">
        <v>780</v>
      </c>
      <c r="J271" s="7"/>
      <c r="K271" s="7" t="s">
        <v>1556</v>
      </c>
      <c r="L271" s="4" t="s">
        <v>782</v>
      </c>
      <c r="M271" s="4" t="s">
        <v>167</v>
      </c>
      <c r="N271" s="4" t="s">
        <v>250</v>
      </c>
      <c r="O271" s="4" t="s">
        <v>783</v>
      </c>
      <c r="P271" s="5">
        <v>46270.666666666664</v>
      </c>
      <c r="Q271" s="4" t="s">
        <v>1557</v>
      </c>
      <c r="R271" s="31" t="s">
        <v>31</v>
      </c>
      <c r="S271" s="33">
        <v>0</v>
      </c>
      <c r="T271" s="31" t="s">
        <v>94</v>
      </c>
      <c r="U271" s="33"/>
      <c r="V271" s="31" t="s">
        <v>110</v>
      </c>
      <c r="W271" s="7"/>
      <c r="X271" s="35">
        <v>46271.058773611112</v>
      </c>
      <c r="Y271" s="31" t="s">
        <v>785</v>
      </c>
      <c r="Z271" s="47"/>
      <c r="AA271" s="4"/>
      <c r="AB271" s="7"/>
    </row>
    <row r="272" spans="1:28" ht="42" customHeight="1">
      <c r="A272" s="6" t="s">
        <v>1558</v>
      </c>
      <c r="B272" s="4" t="s">
        <v>1559</v>
      </c>
      <c r="C272" s="4" t="s">
        <v>1559</v>
      </c>
      <c r="D272" s="4" t="s">
        <v>777</v>
      </c>
      <c r="E272" s="4" t="s">
        <v>778</v>
      </c>
      <c r="F272" s="4" t="s">
        <v>41</v>
      </c>
      <c r="G272" s="4" t="s">
        <v>1461</v>
      </c>
      <c r="H272" s="4" t="s">
        <v>788</v>
      </c>
      <c r="I272" s="4" t="s">
        <v>780</v>
      </c>
      <c r="J272" s="7"/>
      <c r="K272" s="7" t="s">
        <v>1560</v>
      </c>
      <c r="L272" s="4" t="s">
        <v>782</v>
      </c>
      <c r="M272" s="4" t="s">
        <v>167</v>
      </c>
      <c r="N272" s="4" t="s">
        <v>250</v>
      </c>
      <c r="O272" s="4" t="s">
        <v>783</v>
      </c>
      <c r="P272" s="5">
        <v>46270.666666666664</v>
      </c>
      <c r="Q272" s="4" t="s">
        <v>1561</v>
      </c>
      <c r="R272" s="31" t="s">
        <v>31</v>
      </c>
      <c r="S272" s="33">
        <v>0</v>
      </c>
      <c r="T272" s="31" t="s">
        <v>94</v>
      </c>
      <c r="U272" s="33"/>
      <c r="V272" s="31" t="s">
        <v>110</v>
      </c>
      <c r="W272" s="7"/>
      <c r="X272" s="35">
        <v>46271.058773611112</v>
      </c>
      <c r="Y272" s="31" t="s">
        <v>785</v>
      </c>
      <c r="Z272" s="47"/>
      <c r="AA272" s="4"/>
      <c r="AB272" s="7"/>
    </row>
    <row r="273" spans="1:28" ht="42" customHeight="1">
      <c r="A273" s="6" t="s">
        <v>1562</v>
      </c>
      <c r="B273" s="4" t="s">
        <v>1563</v>
      </c>
      <c r="C273" s="4" t="s">
        <v>1563</v>
      </c>
      <c r="D273" s="4" t="s">
        <v>777</v>
      </c>
      <c r="E273" s="4" t="s">
        <v>778</v>
      </c>
      <c r="F273" s="4" t="s">
        <v>41</v>
      </c>
      <c r="G273" s="4" t="s">
        <v>1461</v>
      </c>
      <c r="H273" s="4" t="s">
        <v>788</v>
      </c>
      <c r="I273" s="4" t="s">
        <v>780</v>
      </c>
      <c r="J273" s="7"/>
      <c r="K273" s="7" t="s">
        <v>1564</v>
      </c>
      <c r="L273" s="4" t="s">
        <v>782</v>
      </c>
      <c r="M273" s="4" t="s">
        <v>167</v>
      </c>
      <c r="N273" s="4" t="s">
        <v>250</v>
      </c>
      <c r="O273" s="4" t="s">
        <v>783</v>
      </c>
      <c r="P273" s="5">
        <v>46270.666666666664</v>
      </c>
      <c r="Q273" s="4" t="s">
        <v>1565</v>
      </c>
      <c r="R273" s="31" t="s">
        <v>31</v>
      </c>
      <c r="S273" s="33">
        <v>0</v>
      </c>
      <c r="T273" s="31" t="s">
        <v>94</v>
      </c>
      <c r="U273" s="33"/>
      <c r="V273" s="31" t="s">
        <v>110</v>
      </c>
      <c r="W273" s="7"/>
      <c r="X273" s="35">
        <v>46271.058773611112</v>
      </c>
      <c r="Y273" s="31" t="s">
        <v>785</v>
      </c>
      <c r="Z273" s="47"/>
      <c r="AA273" s="4"/>
      <c r="AB273" s="7"/>
    </row>
    <row r="274" spans="1:28" ht="42" customHeight="1">
      <c r="A274" s="6" t="s">
        <v>1566</v>
      </c>
      <c r="B274" s="4" t="s">
        <v>1567</v>
      </c>
      <c r="C274" s="4" t="s">
        <v>1567</v>
      </c>
      <c r="D274" s="4" t="s">
        <v>777</v>
      </c>
      <c r="E274" s="4" t="s">
        <v>778</v>
      </c>
      <c r="F274" s="4" t="s">
        <v>41</v>
      </c>
      <c r="G274" s="4"/>
      <c r="H274" s="4" t="s">
        <v>1568</v>
      </c>
      <c r="I274" s="4" t="s">
        <v>780</v>
      </c>
      <c r="J274" s="7"/>
      <c r="K274" s="7" t="s">
        <v>1569</v>
      </c>
      <c r="L274" s="4" t="s">
        <v>782</v>
      </c>
      <c r="M274" s="4" t="s">
        <v>167</v>
      </c>
      <c r="N274" s="4" t="s">
        <v>250</v>
      </c>
      <c r="O274" s="4" t="s">
        <v>783</v>
      </c>
      <c r="P274" s="5">
        <v>46270.666666666664</v>
      </c>
      <c r="Q274" s="4" t="s">
        <v>1570</v>
      </c>
      <c r="R274" s="31" t="s">
        <v>31</v>
      </c>
      <c r="S274" s="33">
        <v>0</v>
      </c>
      <c r="T274" s="31" t="s">
        <v>94</v>
      </c>
      <c r="U274" s="33"/>
      <c r="V274" s="31" t="s">
        <v>110</v>
      </c>
      <c r="W274" s="7"/>
      <c r="X274" s="35">
        <v>46271.058773611112</v>
      </c>
      <c r="Y274" s="31" t="s">
        <v>785</v>
      </c>
      <c r="Z274" s="47"/>
      <c r="AA274" s="4"/>
      <c r="AB274" s="7"/>
    </row>
    <row r="275" spans="1:28" ht="42" customHeight="1">
      <c r="A275" s="6" t="s">
        <v>1571</v>
      </c>
      <c r="B275" s="4" t="s">
        <v>1572</v>
      </c>
      <c r="C275" s="4" t="s">
        <v>1572</v>
      </c>
      <c r="D275" s="4" t="s">
        <v>777</v>
      </c>
      <c r="E275" s="4" t="s">
        <v>778</v>
      </c>
      <c r="F275" s="4" t="s">
        <v>41</v>
      </c>
      <c r="G275" s="4" t="s">
        <v>1573</v>
      </c>
      <c r="H275" s="4" t="s">
        <v>788</v>
      </c>
      <c r="I275" s="4" t="s">
        <v>780</v>
      </c>
      <c r="J275" s="7"/>
      <c r="K275" s="7" t="s">
        <v>1574</v>
      </c>
      <c r="L275" s="4" t="s">
        <v>782</v>
      </c>
      <c r="M275" s="4" t="s">
        <v>167</v>
      </c>
      <c r="N275" s="4" t="s">
        <v>250</v>
      </c>
      <c r="O275" s="4" t="s">
        <v>783</v>
      </c>
      <c r="P275" s="5">
        <v>46270.666666666664</v>
      </c>
      <c r="Q275" s="4" t="s">
        <v>1575</v>
      </c>
      <c r="R275" s="31" t="s">
        <v>31</v>
      </c>
      <c r="S275" s="33">
        <v>0</v>
      </c>
      <c r="T275" s="31" t="s">
        <v>94</v>
      </c>
      <c r="U275" s="33"/>
      <c r="V275" s="31" t="s">
        <v>110</v>
      </c>
      <c r="W275" s="7"/>
      <c r="X275" s="35">
        <v>46271.058773611112</v>
      </c>
      <c r="Y275" s="31" t="s">
        <v>785</v>
      </c>
      <c r="Z275" s="47"/>
      <c r="AA275" s="4"/>
      <c r="AB275" s="7"/>
    </row>
    <row r="276" spans="1:28" ht="42" customHeight="1">
      <c r="A276" s="6" t="s">
        <v>1576</v>
      </c>
      <c r="B276" s="4" t="s">
        <v>1577</v>
      </c>
      <c r="C276" s="4" t="s">
        <v>1577</v>
      </c>
      <c r="D276" s="4" t="s">
        <v>777</v>
      </c>
      <c r="E276" s="4" t="s">
        <v>778</v>
      </c>
      <c r="F276" s="4" t="s">
        <v>41</v>
      </c>
      <c r="G276" s="4" t="s">
        <v>1578</v>
      </c>
      <c r="H276" s="4" t="s">
        <v>476</v>
      </c>
      <c r="I276" s="4" t="s">
        <v>780</v>
      </c>
      <c r="J276" s="7"/>
      <c r="K276" s="7" t="s">
        <v>1579</v>
      </c>
      <c r="L276" s="4" t="s">
        <v>782</v>
      </c>
      <c r="M276" s="4" t="s">
        <v>167</v>
      </c>
      <c r="N276" s="4" t="s">
        <v>250</v>
      </c>
      <c r="O276" s="4" t="s">
        <v>783</v>
      </c>
      <c r="P276" s="5">
        <v>46270.666666666664</v>
      </c>
      <c r="Q276" s="4" t="s">
        <v>1580</v>
      </c>
      <c r="R276" s="31" t="s">
        <v>31</v>
      </c>
      <c r="S276" s="33">
        <v>0</v>
      </c>
      <c r="T276" s="31" t="s">
        <v>94</v>
      </c>
      <c r="U276" s="33"/>
      <c r="V276" s="31" t="s">
        <v>110</v>
      </c>
      <c r="W276" s="7"/>
      <c r="X276" s="35">
        <v>46271.058773611112</v>
      </c>
      <c r="Y276" s="31" t="s">
        <v>785</v>
      </c>
      <c r="Z276" s="47"/>
      <c r="AA276" s="4"/>
      <c r="AB276" s="7"/>
    </row>
    <row r="277" spans="1:28" ht="42" customHeight="1">
      <c r="A277" s="6" t="s">
        <v>1581</v>
      </c>
      <c r="B277" s="4" t="s">
        <v>1582</v>
      </c>
      <c r="C277" s="4" t="s">
        <v>1582</v>
      </c>
      <c r="D277" s="4" t="s">
        <v>777</v>
      </c>
      <c r="E277" s="4" t="s">
        <v>778</v>
      </c>
      <c r="F277" s="4" t="s">
        <v>41</v>
      </c>
      <c r="G277" s="4" t="s">
        <v>1510</v>
      </c>
      <c r="H277" s="4" t="s">
        <v>476</v>
      </c>
      <c r="I277" s="4" t="s">
        <v>780</v>
      </c>
      <c r="J277" s="7"/>
      <c r="K277" s="7" t="s">
        <v>1583</v>
      </c>
      <c r="L277" s="4" t="s">
        <v>782</v>
      </c>
      <c r="M277" s="4" t="s">
        <v>167</v>
      </c>
      <c r="N277" s="4" t="s">
        <v>250</v>
      </c>
      <c r="O277" s="4" t="s">
        <v>783</v>
      </c>
      <c r="P277" s="5">
        <v>46270.666666666664</v>
      </c>
      <c r="Q277" s="4" t="s">
        <v>1584</v>
      </c>
      <c r="R277" s="31" t="s">
        <v>31</v>
      </c>
      <c r="S277" s="33">
        <v>0</v>
      </c>
      <c r="T277" s="31" t="s">
        <v>94</v>
      </c>
      <c r="U277" s="33"/>
      <c r="V277" s="31" t="s">
        <v>110</v>
      </c>
      <c r="W277" s="7"/>
      <c r="X277" s="35">
        <v>46271.058773611112</v>
      </c>
      <c r="Y277" s="31" t="s">
        <v>785</v>
      </c>
      <c r="Z277" s="47"/>
      <c r="AA277" s="4"/>
      <c r="AB277" s="7"/>
    </row>
    <row r="278" spans="1:28" ht="42" customHeight="1">
      <c r="A278" s="6" t="s">
        <v>1585</v>
      </c>
      <c r="B278" s="4" t="s">
        <v>1586</v>
      </c>
      <c r="C278" s="4" t="s">
        <v>1586</v>
      </c>
      <c r="D278" s="4" t="s">
        <v>777</v>
      </c>
      <c r="E278" s="4" t="s">
        <v>778</v>
      </c>
      <c r="F278" s="4" t="s">
        <v>41</v>
      </c>
      <c r="G278" s="4" t="s">
        <v>85</v>
      </c>
      <c r="H278" s="4" t="s">
        <v>788</v>
      </c>
      <c r="I278" s="4" t="s">
        <v>780</v>
      </c>
      <c r="J278" s="7"/>
      <c r="K278" s="7" t="s">
        <v>1587</v>
      </c>
      <c r="L278" s="4" t="s">
        <v>782</v>
      </c>
      <c r="M278" s="4" t="s">
        <v>167</v>
      </c>
      <c r="N278" s="4" t="s">
        <v>250</v>
      </c>
      <c r="O278" s="4" t="s">
        <v>783</v>
      </c>
      <c r="P278" s="5">
        <v>46270.666666666664</v>
      </c>
      <c r="Q278" s="4" t="s">
        <v>1588</v>
      </c>
      <c r="R278" s="31" t="s">
        <v>31</v>
      </c>
      <c r="S278" s="33">
        <v>0</v>
      </c>
      <c r="T278" s="31" t="s">
        <v>94</v>
      </c>
      <c r="U278" s="33"/>
      <c r="V278" s="31" t="s">
        <v>110</v>
      </c>
      <c r="W278" s="7"/>
      <c r="X278" s="35">
        <v>46271.058773611112</v>
      </c>
      <c r="Y278" s="31" t="s">
        <v>785</v>
      </c>
      <c r="Z278" s="47"/>
      <c r="AA278" s="4"/>
      <c r="AB278" s="7"/>
    </row>
    <row r="279" spans="1:28" ht="42" customHeight="1">
      <c r="A279" s="6" t="s">
        <v>1589</v>
      </c>
      <c r="B279" s="4" t="s">
        <v>1590</v>
      </c>
      <c r="C279" s="4" t="s">
        <v>1590</v>
      </c>
      <c r="D279" s="4" t="s">
        <v>777</v>
      </c>
      <c r="E279" s="4" t="s">
        <v>778</v>
      </c>
      <c r="F279" s="4" t="s">
        <v>41</v>
      </c>
      <c r="G279" s="4" t="s">
        <v>1591</v>
      </c>
      <c r="H279" s="4" t="s">
        <v>476</v>
      </c>
      <c r="I279" s="4" t="s">
        <v>780</v>
      </c>
      <c r="J279" s="7"/>
      <c r="K279" s="7" t="s">
        <v>1592</v>
      </c>
      <c r="L279" s="4" t="s">
        <v>782</v>
      </c>
      <c r="M279" s="4" t="s">
        <v>167</v>
      </c>
      <c r="N279" s="4" t="s">
        <v>250</v>
      </c>
      <c r="O279" s="4" t="s">
        <v>783</v>
      </c>
      <c r="P279" s="5">
        <v>46270.666666666664</v>
      </c>
      <c r="Q279" s="4" t="s">
        <v>1593</v>
      </c>
      <c r="R279" s="31" t="s">
        <v>31</v>
      </c>
      <c r="S279" s="33">
        <v>0</v>
      </c>
      <c r="T279" s="31" t="s">
        <v>94</v>
      </c>
      <c r="U279" s="33"/>
      <c r="V279" s="31" t="s">
        <v>110</v>
      </c>
      <c r="W279" s="7"/>
      <c r="X279" s="35">
        <v>46271.058773611112</v>
      </c>
      <c r="Y279" s="31" t="s">
        <v>785</v>
      </c>
      <c r="Z279" s="47"/>
      <c r="AA279" s="4"/>
      <c r="AB279" s="7"/>
    </row>
    <row r="280" spans="1:28" ht="42" customHeight="1">
      <c r="A280" s="6" t="s">
        <v>1594</v>
      </c>
      <c r="B280" s="4" t="s">
        <v>1595</v>
      </c>
      <c r="C280" s="4" t="s">
        <v>1595</v>
      </c>
      <c r="D280" s="4" t="s">
        <v>777</v>
      </c>
      <c r="E280" s="4" t="s">
        <v>778</v>
      </c>
      <c r="F280" s="4" t="s">
        <v>41</v>
      </c>
      <c r="G280" s="4" t="s">
        <v>1596</v>
      </c>
      <c r="H280" s="4" t="s">
        <v>788</v>
      </c>
      <c r="I280" s="4" t="s">
        <v>780</v>
      </c>
      <c r="J280" s="7"/>
      <c r="K280" s="7" t="s">
        <v>1597</v>
      </c>
      <c r="L280" s="4" t="s">
        <v>782</v>
      </c>
      <c r="M280" s="4" t="s">
        <v>167</v>
      </c>
      <c r="N280" s="4" t="s">
        <v>250</v>
      </c>
      <c r="O280" s="4" t="s">
        <v>783</v>
      </c>
      <c r="P280" s="5">
        <v>46270.666666666664</v>
      </c>
      <c r="Q280" s="4" t="s">
        <v>1598</v>
      </c>
      <c r="R280" s="31" t="s">
        <v>31</v>
      </c>
      <c r="S280" s="33">
        <v>0</v>
      </c>
      <c r="T280" s="31" t="s">
        <v>94</v>
      </c>
      <c r="U280" s="33"/>
      <c r="V280" s="31" t="s">
        <v>110</v>
      </c>
      <c r="W280" s="7"/>
      <c r="X280" s="35">
        <v>46271.058773611112</v>
      </c>
      <c r="Y280" s="31" t="s">
        <v>785</v>
      </c>
      <c r="Z280" s="47"/>
      <c r="AA280" s="4"/>
      <c r="AB280" s="7"/>
    </row>
    <row r="281" spans="1:28" ht="42" customHeight="1">
      <c r="A281" s="6" t="s">
        <v>1599</v>
      </c>
      <c r="B281" s="4" t="s">
        <v>1600</v>
      </c>
      <c r="C281" s="4" t="s">
        <v>1600</v>
      </c>
      <c r="D281" s="4" t="s">
        <v>777</v>
      </c>
      <c r="E281" s="4" t="s">
        <v>778</v>
      </c>
      <c r="F281" s="4" t="s">
        <v>41</v>
      </c>
      <c r="G281" s="4" t="s">
        <v>1578</v>
      </c>
      <c r="H281" s="4" t="s">
        <v>788</v>
      </c>
      <c r="I281" s="4" t="s">
        <v>780</v>
      </c>
      <c r="J281" s="7"/>
      <c r="K281" s="7" t="s">
        <v>1601</v>
      </c>
      <c r="L281" s="4" t="s">
        <v>782</v>
      </c>
      <c r="M281" s="4" t="s">
        <v>167</v>
      </c>
      <c r="N281" s="4" t="s">
        <v>250</v>
      </c>
      <c r="O281" s="4" t="s">
        <v>783</v>
      </c>
      <c r="P281" s="5">
        <v>46270.666666666664</v>
      </c>
      <c r="Q281" s="4" t="s">
        <v>1602</v>
      </c>
      <c r="R281" s="31" t="s">
        <v>31</v>
      </c>
      <c r="S281" s="33">
        <v>0</v>
      </c>
      <c r="T281" s="31" t="s">
        <v>94</v>
      </c>
      <c r="U281" s="33"/>
      <c r="V281" s="31" t="s">
        <v>110</v>
      </c>
      <c r="W281" s="7"/>
      <c r="X281" s="35">
        <v>46271.058773611112</v>
      </c>
      <c r="Y281" s="31" t="s">
        <v>785</v>
      </c>
      <c r="Z281" s="47"/>
      <c r="AA281" s="4"/>
      <c r="AB281" s="7"/>
    </row>
    <row r="282" spans="1:28" ht="42" customHeight="1">
      <c r="A282" s="6" t="s">
        <v>1603</v>
      </c>
      <c r="B282" s="4" t="s">
        <v>1604</v>
      </c>
      <c r="C282" s="4" t="s">
        <v>1604</v>
      </c>
      <c r="D282" s="4" t="s">
        <v>777</v>
      </c>
      <c r="E282" s="4" t="s">
        <v>778</v>
      </c>
      <c r="F282" s="4" t="s">
        <v>41</v>
      </c>
      <c r="G282" s="4" t="s">
        <v>1605</v>
      </c>
      <c r="H282" s="4" t="s">
        <v>1606</v>
      </c>
      <c r="I282" s="4" t="s">
        <v>780</v>
      </c>
      <c r="J282" s="7"/>
      <c r="K282" s="7" t="s">
        <v>1607</v>
      </c>
      <c r="L282" s="4" t="s">
        <v>782</v>
      </c>
      <c r="M282" s="4" t="s">
        <v>167</v>
      </c>
      <c r="N282" s="4" t="s">
        <v>250</v>
      </c>
      <c r="O282" s="4" t="s">
        <v>783</v>
      </c>
      <c r="P282" s="5">
        <v>46270.666666666664</v>
      </c>
      <c r="Q282" s="4" t="s">
        <v>1608</v>
      </c>
      <c r="R282" s="31" t="s">
        <v>31</v>
      </c>
      <c r="S282" s="33">
        <v>0</v>
      </c>
      <c r="T282" s="31" t="s">
        <v>94</v>
      </c>
      <c r="U282" s="33"/>
      <c r="V282" s="31" t="s">
        <v>110</v>
      </c>
      <c r="W282" s="7"/>
      <c r="X282" s="35">
        <v>46271.058773611112</v>
      </c>
      <c r="Y282" s="31" t="s">
        <v>785</v>
      </c>
      <c r="Z282" s="47"/>
      <c r="AA282" s="4"/>
      <c r="AB282" s="7"/>
    </row>
    <row r="283" spans="1:28" ht="42" customHeight="1">
      <c r="A283" s="6" t="s">
        <v>1609</v>
      </c>
      <c r="B283" s="4" t="s">
        <v>1610</v>
      </c>
      <c r="C283" s="4" t="s">
        <v>1610</v>
      </c>
      <c r="D283" s="4" t="s">
        <v>777</v>
      </c>
      <c r="E283" s="4" t="s">
        <v>778</v>
      </c>
      <c r="F283" s="4" t="s">
        <v>41</v>
      </c>
      <c r="G283" s="4" t="s">
        <v>1611</v>
      </c>
      <c r="H283" s="4" t="s">
        <v>948</v>
      </c>
      <c r="I283" s="4" t="s">
        <v>780</v>
      </c>
      <c r="J283" s="7"/>
      <c r="K283" s="7" t="s">
        <v>1612</v>
      </c>
      <c r="L283" s="4" t="s">
        <v>782</v>
      </c>
      <c r="M283" s="4" t="s">
        <v>167</v>
      </c>
      <c r="N283" s="4" t="s">
        <v>250</v>
      </c>
      <c r="O283" s="4" t="s">
        <v>783</v>
      </c>
      <c r="P283" s="5">
        <v>46270.666666666664</v>
      </c>
      <c r="Q283" s="4" t="s">
        <v>1613</v>
      </c>
      <c r="R283" s="31" t="s">
        <v>31</v>
      </c>
      <c r="S283" s="33">
        <v>0</v>
      </c>
      <c r="T283" s="31" t="s">
        <v>94</v>
      </c>
      <c r="U283" s="33"/>
      <c r="V283" s="31" t="s">
        <v>110</v>
      </c>
      <c r="W283" s="7"/>
      <c r="X283" s="35">
        <v>46271.058773611112</v>
      </c>
      <c r="Y283" s="31" t="s">
        <v>785</v>
      </c>
      <c r="Z283" s="47"/>
      <c r="AA283" s="4"/>
      <c r="AB283" s="7"/>
    </row>
    <row r="284" spans="1:28" ht="42" customHeight="1">
      <c r="A284" s="6" t="s">
        <v>1614</v>
      </c>
      <c r="B284" s="4" t="s">
        <v>1615</v>
      </c>
      <c r="C284" s="4" t="s">
        <v>1615</v>
      </c>
      <c r="D284" s="4" t="s">
        <v>777</v>
      </c>
      <c r="E284" s="4" t="s">
        <v>778</v>
      </c>
      <c r="F284" s="4" t="s">
        <v>41</v>
      </c>
      <c r="G284" s="4"/>
      <c r="H284" s="4" t="s">
        <v>1616</v>
      </c>
      <c r="I284" s="4" t="s">
        <v>780</v>
      </c>
      <c r="J284" s="7"/>
      <c r="K284" s="7" t="s">
        <v>1617</v>
      </c>
      <c r="L284" s="4" t="s">
        <v>782</v>
      </c>
      <c r="M284" s="4" t="s">
        <v>167</v>
      </c>
      <c r="N284" s="4" t="s">
        <v>250</v>
      </c>
      <c r="O284" s="4" t="s">
        <v>783</v>
      </c>
      <c r="P284" s="5">
        <v>46270.666666666664</v>
      </c>
      <c r="Q284" s="4" t="s">
        <v>1618</v>
      </c>
      <c r="R284" s="31" t="s">
        <v>31</v>
      </c>
      <c r="S284" s="33">
        <v>0</v>
      </c>
      <c r="T284" s="31" t="s">
        <v>94</v>
      </c>
      <c r="U284" s="33"/>
      <c r="V284" s="31" t="s">
        <v>110</v>
      </c>
      <c r="W284" s="7"/>
      <c r="X284" s="35">
        <v>46271.058773611112</v>
      </c>
      <c r="Y284" s="31" t="s">
        <v>785</v>
      </c>
      <c r="Z284" s="47"/>
      <c r="AA284" s="4"/>
      <c r="AB284" s="7"/>
    </row>
    <row r="285" spans="1:28" ht="42" customHeight="1">
      <c r="A285" s="6" t="s">
        <v>1619</v>
      </c>
      <c r="B285" s="4" t="s">
        <v>1620</v>
      </c>
      <c r="C285" s="4" t="s">
        <v>1620</v>
      </c>
      <c r="D285" s="4" t="s">
        <v>777</v>
      </c>
      <c r="E285" s="4" t="s">
        <v>778</v>
      </c>
      <c r="F285" s="4" t="s">
        <v>41</v>
      </c>
      <c r="G285" s="4" t="s">
        <v>1434</v>
      </c>
      <c r="H285" s="4" t="s">
        <v>476</v>
      </c>
      <c r="I285" s="4" t="s">
        <v>780</v>
      </c>
      <c r="J285" s="7"/>
      <c r="K285" s="7" t="s">
        <v>1621</v>
      </c>
      <c r="L285" s="4" t="s">
        <v>782</v>
      </c>
      <c r="M285" s="4" t="s">
        <v>167</v>
      </c>
      <c r="N285" s="4" t="s">
        <v>250</v>
      </c>
      <c r="O285" s="4" t="s">
        <v>783</v>
      </c>
      <c r="P285" s="5">
        <v>46270.666666666664</v>
      </c>
      <c r="Q285" s="4" t="s">
        <v>1622</v>
      </c>
      <c r="R285" s="31" t="s">
        <v>31</v>
      </c>
      <c r="S285" s="33">
        <v>0</v>
      </c>
      <c r="T285" s="31" t="s">
        <v>94</v>
      </c>
      <c r="U285" s="33"/>
      <c r="V285" s="31" t="s">
        <v>110</v>
      </c>
      <c r="W285" s="7"/>
      <c r="X285" s="35">
        <v>46271.058773611112</v>
      </c>
      <c r="Y285" s="31" t="s">
        <v>785</v>
      </c>
      <c r="Z285" s="47"/>
      <c r="AA285" s="4"/>
      <c r="AB285" s="7"/>
    </row>
    <row r="286" spans="1:28" ht="42" customHeight="1">
      <c r="A286" s="6" t="s">
        <v>1623</v>
      </c>
      <c r="B286" s="4" t="s">
        <v>1624</v>
      </c>
      <c r="C286" s="4" t="s">
        <v>1624</v>
      </c>
      <c r="D286" s="4" t="s">
        <v>777</v>
      </c>
      <c r="E286" s="4" t="s">
        <v>778</v>
      </c>
      <c r="F286" s="4" t="s">
        <v>41</v>
      </c>
      <c r="G286" s="4" t="s">
        <v>85</v>
      </c>
      <c r="H286" s="4" t="s">
        <v>788</v>
      </c>
      <c r="I286" s="4" t="s">
        <v>780</v>
      </c>
      <c r="J286" s="7"/>
      <c r="K286" s="7" t="s">
        <v>1625</v>
      </c>
      <c r="L286" s="4" t="s">
        <v>782</v>
      </c>
      <c r="M286" s="4" t="s">
        <v>167</v>
      </c>
      <c r="N286" s="4" t="s">
        <v>250</v>
      </c>
      <c r="O286" s="4" t="s">
        <v>783</v>
      </c>
      <c r="P286" s="5">
        <v>46270.666666666664</v>
      </c>
      <c r="Q286" s="4" t="s">
        <v>1626</v>
      </c>
      <c r="R286" s="31" t="s">
        <v>31</v>
      </c>
      <c r="S286" s="33">
        <v>0</v>
      </c>
      <c r="T286" s="31" t="s">
        <v>94</v>
      </c>
      <c r="U286" s="33"/>
      <c r="V286" s="31" t="s">
        <v>110</v>
      </c>
      <c r="W286" s="7"/>
      <c r="X286" s="35">
        <v>46271.058773611112</v>
      </c>
      <c r="Y286" s="31" t="s">
        <v>785</v>
      </c>
      <c r="Z286" s="47"/>
      <c r="AA286" s="4"/>
      <c r="AB286" s="7"/>
    </row>
    <row r="287" spans="1:28" ht="42" customHeight="1">
      <c r="A287" s="6" t="s">
        <v>1627</v>
      </c>
      <c r="B287" s="4" t="s">
        <v>1628</v>
      </c>
      <c r="C287" s="4" t="s">
        <v>1628</v>
      </c>
      <c r="D287" s="4" t="s">
        <v>777</v>
      </c>
      <c r="E287" s="4" t="s">
        <v>778</v>
      </c>
      <c r="F287" s="4" t="s">
        <v>41</v>
      </c>
      <c r="G287" s="4" t="s">
        <v>1629</v>
      </c>
      <c r="H287" s="4" t="s">
        <v>476</v>
      </c>
      <c r="I287" s="4" t="s">
        <v>780</v>
      </c>
      <c r="J287" s="7"/>
      <c r="K287" s="7" t="s">
        <v>1630</v>
      </c>
      <c r="L287" s="4" t="s">
        <v>782</v>
      </c>
      <c r="M287" s="4" t="s">
        <v>167</v>
      </c>
      <c r="N287" s="4" t="s">
        <v>250</v>
      </c>
      <c r="O287" s="4" t="s">
        <v>783</v>
      </c>
      <c r="P287" s="5">
        <v>46270.666666666664</v>
      </c>
      <c r="Q287" s="4" t="s">
        <v>1631</v>
      </c>
      <c r="R287" s="31" t="s">
        <v>31</v>
      </c>
      <c r="S287" s="33">
        <v>0</v>
      </c>
      <c r="T287" s="31" t="s">
        <v>94</v>
      </c>
      <c r="U287" s="33"/>
      <c r="V287" s="31" t="s">
        <v>110</v>
      </c>
      <c r="W287" s="7"/>
      <c r="X287" s="35">
        <v>46271.058773622688</v>
      </c>
      <c r="Y287" s="31" t="s">
        <v>785</v>
      </c>
      <c r="Z287" s="47"/>
      <c r="AA287" s="4"/>
      <c r="AB287" s="7"/>
    </row>
    <row r="288" spans="1:28" ht="42" customHeight="1">
      <c r="A288" s="6" t="s">
        <v>1632</v>
      </c>
      <c r="B288" s="4" t="s">
        <v>1633</v>
      </c>
      <c r="C288" s="4" t="s">
        <v>1633</v>
      </c>
      <c r="D288" s="4" t="s">
        <v>777</v>
      </c>
      <c r="E288" s="4" t="s">
        <v>778</v>
      </c>
      <c r="F288" s="4" t="s">
        <v>41</v>
      </c>
      <c r="G288" s="4" t="s">
        <v>1634</v>
      </c>
      <c r="H288" s="4" t="s">
        <v>476</v>
      </c>
      <c r="I288" s="4" t="s">
        <v>780</v>
      </c>
      <c r="J288" s="7"/>
      <c r="K288" s="7" t="s">
        <v>1635</v>
      </c>
      <c r="L288" s="4" t="s">
        <v>782</v>
      </c>
      <c r="M288" s="4" t="s">
        <v>167</v>
      </c>
      <c r="N288" s="4" t="s">
        <v>250</v>
      </c>
      <c r="O288" s="4" t="s">
        <v>783</v>
      </c>
      <c r="P288" s="5">
        <v>46270.666666666664</v>
      </c>
      <c r="Q288" s="4" t="s">
        <v>1636</v>
      </c>
      <c r="R288" s="31" t="s">
        <v>31</v>
      </c>
      <c r="S288" s="33">
        <v>0</v>
      </c>
      <c r="T288" s="31" t="s">
        <v>94</v>
      </c>
      <c r="U288" s="33"/>
      <c r="V288" s="31" t="s">
        <v>110</v>
      </c>
      <c r="W288" s="7"/>
      <c r="X288" s="35">
        <v>46271.058773622688</v>
      </c>
      <c r="Y288" s="31" t="s">
        <v>785</v>
      </c>
      <c r="Z288" s="47"/>
      <c r="AA288" s="4"/>
      <c r="AB288" s="7"/>
    </row>
    <row r="289" spans="1:28" ht="42" customHeight="1">
      <c r="A289" s="6" t="s">
        <v>1637</v>
      </c>
      <c r="B289" s="4" t="s">
        <v>1638</v>
      </c>
      <c r="C289" s="4" t="s">
        <v>1638</v>
      </c>
      <c r="D289" s="4" t="s">
        <v>777</v>
      </c>
      <c r="E289" s="4" t="s">
        <v>778</v>
      </c>
      <c r="F289" s="4" t="s">
        <v>41</v>
      </c>
      <c r="G289" s="4"/>
      <c r="H289" s="4" t="s">
        <v>1639</v>
      </c>
      <c r="I289" s="4" t="s">
        <v>780</v>
      </c>
      <c r="J289" s="7"/>
      <c r="K289" s="7" t="s">
        <v>1640</v>
      </c>
      <c r="L289" s="4" t="s">
        <v>782</v>
      </c>
      <c r="M289" s="4" t="s">
        <v>167</v>
      </c>
      <c r="N289" s="4" t="s">
        <v>250</v>
      </c>
      <c r="O289" s="4" t="s">
        <v>783</v>
      </c>
      <c r="P289" s="5">
        <v>46270.666666666664</v>
      </c>
      <c r="Q289" s="4" t="s">
        <v>1641</v>
      </c>
      <c r="R289" s="31" t="s">
        <v>31</v>
      </c>
      <c r="S289" s="33">
        <v>0</v>
      </c>
      <c r="T289" s="31" t="s">
        <v>94</v>
      </c>
      <c r="U289" s="33"/>
      <c r="V289" s="31" t="s">
        <v>110</v>
      </c>
      <c r="W289" s="7"/>
      <c r="X289" s="35">
        <v>46271.058773622688</v>
      </c>
      <c r="Y289" s="31" t="s">
        <v>785</v>
      </c>
      <c r="Z289" s="47"/>
      <c r="AA289" s="4"/>
      <c r="AB289" s="7"/>
    </row>
    <row r="290" spans="1:28" ht="42" customHeight="1">
      <c r="A290" s="6" t="s">
        <v>1642</v>
      </c>
      <c r="B290" s="4" t="s">
        <v>1643</v>
      </c>
      <c r="C290" s="4" t="s">
        <v>1643</v>
      </c>
      <c r="D290" s="4" t="s">
        <v>777</v>
      </c>
      <c r="E290" s="4" t="s">
        <v>778</v>
      </c>
      <c r="F290" s="4" t="s">
        <v>42</v>
      </c>
      <c r="G290" s="4" t="s">
        <v>1644</v>
      </c>
      <c r="H290" s="4" t="s">
        <v>948</v>
      </c>
      <c r="I290" s="4" t="s">
        <v>780</v>
      </c>
      <c r="J290" s="7"/>
      <c r="K290" s="7" t="s">
        <v>1645</v>
      </c>
      <c r="L290" s="4" t="s">
        <v>782</v>
      </c>
      <c r="M290" s="4" t="s">
        <v>167</v>
      </c>
      <c r="N290" s="4" t="s">
        <v>250</v>
      </c>
      <c r="O290" s="4" t="s">
        <v>783</v>
      </c>
      <c r="P290" s="5">
        <v>46270.666666666664</v>
      </c>
      <c r="Q290" s="4" t="s">
        <v>1646</v>
      </c>
      <c r="R290" s="31" t="s">
        <v>31</v>
      </c>
      <c r="S290" s="33">
        <v>0</v>
      </c>
      <c r="T290" s="31" t="s">
        <v>94</v>
      </c>
      <c r="U290" s="33"/>
      <c r="V290" s="31" t="s">
        <v>110</v>
      </c>
      <c r="W290" s="7"/>
      <c r="X290" s="35">
        <v>46271.058773622688</v>
      </c>
      <c r="Y290" s="31" t="s">
        <v>785</v>
      </c>
      <c r="Z290" s="47"/>
      <c r="AA290" s="4"/>
      <c r="AB290" s="7"/>
    </row>
    <row r="291" spans="1:28" ht="42" customHeight="1">
      <c r="A291" s="6" t="s">
        <v>1647</v>
      </c>
      <c r="B291" s="4" t="s">
        <v>1648</v>
      </c>
      <c r="C291" s="4" t="s">
        <v>1648</v>
      </c>
      <c r="D291" s="4" t="s">
        <v>777</v>
      </c>
      <c r="E291" s="4" t="s">
        <v>778</v>
      </c>
      <c r="F291" s="4" t="s">
        <v>42</v>
      </c>
      <c r="G291" s="4" t="s">
        <v>1649</v>
      </c>
      <c r="H291" s="4" t="s">
        <v>1650</v>
      </c>
      <c r="I291" s="4" t="s">
        <v>780</v>
      </c>
      <c r="J291" s="7"/>
      <c r="K291" s="7" t="s">
        <v>1651</v>
      </c>
      <c r="L291" s="4" t="s">
        <v>782</v>
      </c>
      <c r="M291" s="4" t="s">
        <v>167</v>
      </c>
      <c r="N291" s="4" t="s">
        <v>250</v>
      </c>
      <c r="O291" s="4" t="s">
        <v>783</v>
      </c>
      <c r="P291" s="5">
        <v>46270.666666666664</v>
      </c>
      <c r="Q291" s="4" t="s">
        <v>1652</v>
      </c>
      <c r="R291" s="31" t="s">
        <v>31</v>
      </c>
      <c r="S291" s="33">
        <v>0</v>
      </c>
      <c r="T291" s="31" t="s">
        <v>94</v>
      </c>
      <c r="U291" s="33"/>
      <c r="V291" s="31" t="s">
        <v>110</v>
      </c>
      <c r="W291" s="7"/>
      <c r="X291" s="35">
        <v>46271.058773622688</v>
      </c>
      <c r="Y291" s="31" t="s">
        <v>785</v>
      </c>
      <c r="Z291" s="47"/>
      <c r="AA291" s="4"/>
      <c r="AB291" s="7"/>
    </row>
    <row r="292" spans="1:28" ht="42" customHeight="1">
      <c r="A292" s="6" t="s">
        <v>1653</v>
      </c>
      <c r="B292" s="4" t="s">
        <v>1654</v>
      </c>
      <c r="C292" s="4" t="s">
        <v>1654</v>
      </c>
      <c r="D292" s="4" t="s">
        <v>777</v>
      </c>
      <c r="E292" s="4" t="s">
        <v>778</v>
      </c>
      <c r="F292" s="4" t="s">
        <v>42</v>
      </c>
      <c r="G292" s="4" t="s">
        <v>1655</v>
      </c>
      <c r="H292" s="4" t="s">
        <v>948</v>
      </c>
      <c r="I292" s="4" t="s">
        <v>780</v>
      </c>
      <c r="J292" s="7"/>
      <c r="K292" s="7" t="s">
        <v>1656</v>
      </c>
      <c r="L292" s="4" t="s">
        <v>782</v>
      </c>
      <c r="M292" s="4" t="s">
        <v>167</v>
      </c>
      <c r="N292" s="4" t="s">
        <v>250</v>
      </c>
      <c r="O292" s="4" t="s">
        <v>783</v>
      </c>
      <c r="P292" s="5">
        <v>46270.666666666664</v>
      </c>
      <c r="Q292" s="4" t="s">
        <v>1657</v>
      </c>
      <c r="R292" s="31" t="s">
        <v>31</v>
      </c>
      <c r="S292" s="33">
        <v>0</v>
      </c>
      <c r="T292" s="31" t="s">
        <v>94</v>
      </c>
      <c r="U292" s="33"/>
      <c r="V292" s="31" t="s">
        <v>110</v>
      </c>
      <c r="W292" s="7"/>
      <c r="X292" s="35">
        <v>46271.058773622688</v>
      </c>
      <c r="Y292" s="31" t="s">
        <v>785</v>
      </c>
      <c r="Z292" s="47"/>
      <c r="AA292" s="4"/>
      <c r="AB292" s="7"/>
    </row>
    <row r="293" spans="1:28" ht="42" customHeight="1">
      <c r="A293" s="6" t="s">
        <v>1658</v>
      </c>
      <c r="B293" s="4" t="s">
        <v>1659</v>
      </c>
      <c r="C293" s="4" t="s">
        <v>1659</v>
      </c>
      <c r="D293" s="4" t="s">
        <v>777</v>
      </c>
      <c r="E293" s="4" t="s">
        <v>778</v>
      </c>
      <c r="F293" s="4" t="s">
        <v>42</v>
      </c>
      <c r="G293" s="4" t="s">
        <v>1644</v>
      </c>
      <c r="H293" s="4" t="s">
        <v>1334</v>
      </c>
      <c r="I293" s="4" t="s">
        <v>780</v>
      </c>
      <c r="J293" s="7"/>
      <c r="K293" s="7" t="s">
        <v>1660</v>
      </c>
      <c r="L293" s="4" t="s">
        <v>782</v>
      </c>
      <c r="M293" s="4" t="s">
        <v>167</v>
      </c>
      <c r="N293" s="4" t="s">
        <v>250</v>
      </c>
      <c r="O293" s="4" t="s">
        <v>783</v>
      </c>
      <c r="P293" s="5">
        <v>46270.666666666664</v>
      </c>
      <c r="Q293" s="4" t="s">
        <v>1661</v>
      </c>
      <c r="R293" s="31" t="s">
        <v>31</v>
      </c>
      <c r="S293" s="33">
        <v>0</v>
      </c>
      <c r="T293" s="31" t="s">
        <v>94</v>
      </c>
      <c r="U293" s="33"/>
      <c r="V293" s="31" t="s">
        <v>110</v>
      </c>
      <c r="W293" s="7"/>
      <c r="X293" s="35">
        <v>46271.058773622688</v>
      </c>
      <c r="Y293" s="31" t="s">
        <v>785</v>
      </c>
      <c r="Z293" s="47"/>
      <c r="AA293" s="4"/>
      <c r="AB293" s="7"/>
    </row>
    <row r="294" spans="1:28" ht="42" customHeight="1">
      <c r="A294" s="6" t="s">
        <v>1662</v>
      </c>
      <c r="B294" s="4" t="s">
        <v>1663</v>
      </c>
      <c r="C294" s="4" t="s">
        <v>1663</v>
      </c>
      <c r="D294" s="4" t="s">
        <v>777</v>
      </c>
      <c r="E294" s="4" t="s">
        <v>778</v>
      </c>
      <c r="F294" s="4" t="s">
        <v>42</v>
      </c>
      <c r="G294" s="4" t="s">
        <v>1644</v>
      </c>
      <c r="H294" s="4" t="s">
        <v>788</v>
      </c>
      <c r="I294" s="4" t="s">
        <v>780</v>
      </c>
      <c r="J294" s="7"/>
      <c r="K294" s="7" t="s">
        <v>1664</v>
      </c>
      <c r="L294" s="4" t="s">
        <v>782</v>
      </c>
      <c r="M294" s="4" t="s">
        <v>167</v>
      </c>
      <c r="N294" s="4" t="s">
        <v>250</v>
      </c>
      <c r="O294" s="4" t="s">
        <v>783</v>
      </c>
      <c r="P294" s="5">
        <v>46270.666666666664</v>
      </c>
      <c r="Q294" s="4" t="s">
        <v>1665</v>
      </c>
      <c r="R294" s="31" t="s">
        <v>31</v>
      </c>
      <c r="S294" s="33">
        <v>0</v>
      </c>
      <c r="T294" s="31" t="s">
        <v>94</v>
      </c>
      <c r="U294" s="33"/>
      <c r="V294" s="31" t="s">
        <v>110</v>
      </c>
      <c r="W294" s="7"/>
      <c r="X294" s="35">
        <v>46271.058773622688</v>
      </c>
      <c r="Y294" s="31" t="s">
        <v>785</v>
      </c>
      <c r="Z294" s="47"/>
      <c r="AA294" s="4"/>
      <c r="AB294" s="7"/>
    </row>
    <row r="295" spans="1:28" ht="42" customHeight="1">
      <c r="A295" s="6" t="s">
        <v>1666</v>
      </c>
      <c r="B295" s="4" t="s">
        <v>1667</v>
      </c>
      <c r="C295" s="4" t="s">
        <v>1667</v>
      </c>
      <c r="D295" s="4" t="s">
        <v>777</v>
      </c>
      <c r="E295" s="4" t="s">
        <v>778</v>
      </c>
      <c r="F295" s="4" t="s">
        <v>42</v>
      </c>
      <c r="G295" s="4" t="s">
        <v>1649</v>
      </c>
      <c r="H295" s="4" t="s">
        <v>948</v>
      </c>
      <c r="I295" s="4" t="s">
        <v>780</v>
      </c>
      <c r="J295" s="7"/>
      <c r="K295" s="7" t="s">
        <v>1668</v>
      </c>
      <c r="L295" s="4" t="s">
        <v>782</v>
      </c>
      <c r="M295" s="4" t="s">
        <v>167</v>
      </c>
      <c r="N295" s="4" t="s">
        <v>250</v>
      </c>
      <c r="O295" s="4" t="s">
        <v>783</v>
      </c>
      <c r="P295" s="5">
        <v>46270.666666666664</v>
      </c>
      <c r="Q295" s="4" t="s">
        <v>1669</v>
      </c>
      <c r="R295" s="31" t="s">
        <v>31</v>
      </c>
      <c r="S295" s="33">
        <v>0</v>
      </c>
      <c r="T295" s="31" t="s">
        <v>94</v>
      </c>
      <c r="U295" s="33"/>
      <c r="V295" s="31" t="s">
        <v>110</v>
      </c>
      <c r="W295" s="7"/>
      <c r="X295" s="35">
        <v>46271.058773622688</v>
      </c>
      <c r="Y295" s="31" t="s">
        <v>785</v>
      </c>
      <c r="Z295" s="47"/>
      <c r="AA295" s="4"/>
      <c r="AB295" s="7"/>
    </row>
    <row r="296" spans="1:28" ht="42" customHeight="1">
      <c r="A296" s="6" t="s">
        <v>1670</v>
      </c>
      <c r="B296" s="4" t="s">
        <v>1671</v>
      </c>
      <c r="C296" s="4" t="s">
        <v>1671</v>
      </c>
      <c r="D296" s="4" t="s">
        <v>777</v>
      </c>
      <c r="E296" s="4" t="s">
        <v>778</v>
      </c>
      <c r="F296" s="4" t="s">
        <v>42</v>
      </c>
      <c r="G296" s="4" t="s">
        <v>1644</v>
      </c>
      <c r="H296" s="4" t="s">
        <v>948</v>
      </c>
      <c r="I296" s="4" t="s">
        <v>780</v>
      </c>
      <c r="J296" s="7"/>
      <c r="K296" s="7" t="s">
        <v>1672</v>
      </c>
      <c r="L296" s="4" t="s">
        <v>782</v>
      </c>
      <c r="M296" s="4" t="s">
        <v>167</v>
      </c>
      <c r="N296" s="4" t="s">
        <v>250</v>
      </c>
      <c r="O296" s="4" t="s">
        <v>783</v>
      </c>
      <c r="P296" s="5">
        <v>46270.666666666664</v>
      </c>
      <c r="Q296" s="4" t="s">
        <v>1673</v>
      </c>
      <c r="R296" s="31" t="s">
        <v>31</v>
      </c>
      <c r="S296" s="33">
        <v>0</v>
      </c>
      <c r="T296" s="31" t="s">
        <v>94</v>
      </c>
      <c r="U296" s="33"/>
      <c r="V296" s="31" t="s">
        <v>110</v>
      </c>
      <c r="W296" s="7"/>
      <c r="X296" s="35">
        <v>46271.058773622688</v>
      </c>
      <c r="Y296" s="31" t="s">
        <v>785</v>
      </c>
      <c r="Z296" s="47"/>
      <c r="AA296" s="4"/>
      <c r="AB296" s="7"/>
    </row>
    <row r="297" spans="1:28" ht="42" customHeight="1">
      <c r="A297" s="6" t="s">
        <v>1674</v>
      </c>
      <c r="B297" s="4" t="s">
        <v>1675</v>
      </c>
      <c r="C297" s="4" t="s">
        <v>1675</v>
      </c>
      <c r="D297" s="4" t="s">
        <v>777</v>
      </c>
      <c r="E297" s="4" t="s">
        <v>778</v>
      </c>
      <c r="F297" s="4" t="s">
        <v>42</v>
      </c>
      <c r="G297" s="4" t="s">
        <v>1676</v>
      </c>
      <c r="H297" s="4" t="s">
        <v>948</v>
      </c>
      <c r="I297" s="4" t="s">
        <v>780</v>
      </c>
      <c r="J297" s="7"/>
      <c r="K297" s="7" t="s">
        <v>1677</v>
      </c>
      <c r="L297" s="4" t="s">
        <v>782</v>
      </c>
      <c r="M297" s="4" t="s">
        <v>167</v>
      </c>
      <c r="N297" s="4" t="s">
        <v>250</v>
      </c>
      <c r="O297" s="4" t="s">
        <v>783</v>
      </c>
      <c r="P297" s="5">
        <v>46270.666666666664</v>
      </c>
      <c r="Q297" s="4" t="s">
        <v>1678</v>
      </c>
      <c r="R297" s="31" t="s">
        <v>31</v>
      </c>
      <c r="S297" s="33">
        <v>0</v>
      </c>
      <c r="T297" s="31" t="s">
        <v>94</v>
      </c>
      <c r="U297" s="33"/>
      <c r="V297" s="31" t="s">
        <v>110</v>
      </c>
      <c r="W297" s="7"/>
      <c r="X297" s="35">
        <v>46271.058773622688</v>
      </c>
      <c r="Y297" s="31" t="s">
        <v>785</v>
      </c>
      <c r="Z297" s="47"/>
      <c r="AA297" s="4"/>
      <c r="AB297" s="7"/>
    </row>
    <row r="298" spans="1:28" ht="42" customHeight="1">
      <c r="A298" s="6" t="s">
        <v>1679</v>
      </c>
      <c r="B298" s="4" t="s">
        <v>1680</v>
      </c>
      <c r="C298" s="4" t="s">
        <v>1680</v>
      </c>
      <c r="D298" s="4" t="s">
        <v>777</v>
      </c>
      <c r="E298" s="4" t="s">
        <v>778</v>
      </c>
      <c r="F298" s="4" t="s">
        <v>42</v>
      </c>
      <c r="G298" s="4" t="s">
        <v>1681</v>
      </c>
      <c r="H298" s="4" t="s">
        <v>788</v>
      </c>
      <c r="I298" s="4" t="s">
        <v>780</v>
      </c>
      <c r="J298" s="7"/>
      <c r="K298" s="7" t="s">
        <v>1682</v>
      </c>
      <c r="L298" s="4" t="s">
        <v>782</v>
      </c>
      <c r="M298" s="4" t="s">
        <v>167</v>
      </c>
      <c r="N298" s="4" t="s">
        <v>250</v>
      </c>
      <c r="O298" s="4" t="s">
        <v>783</v>
      </c>
      <c r="P298" s="5">
        <v>46270.666666666664</v>
      </c>
      <c r="Q298" s="4" t="s">
        <v>1683</v>
      </c>
      <c r="R298" s="31" t="s">
        <v>31</v>
      </c>
      <c r="S298" s="33">
        <v>0</v>
      </c>
      <c r="T298" s="31" t="s">
        <v>94</v>
      </c>
      <c r="U298" s="33"/>
      <c r="V298" s="31" t="s">
        <v>110</v>
      </c>
      <c r="W298" s="7"/>
      <c r="X298" s="35">
        <v>46271.058773622688</v>
      </c>
      <c r="Y298" s="31" t="s">
        <v>785</v>
      </c>
      <c r="Z298" s="47"/>
      <c r="AA298" s="4"/>
      <c r="AB298" s="7"/>
    </row>
    <row r="299" spans="1:28" ht="42" customHeight="1">
      <c r="A299" s="6" t="s">
        <v>1684</v>
      </c>
      <c r="B299" s="4" t="s">
        <v>1685</v>
      </c>
      <c r="C299" s="4" t="s">
        <v>1685</v>
      </c>
      <c r="D299" s="4" t="s">
        <v>777</v>
      </c>
      <c r="E299" s="4" t="s">
        <v>778</v>
      </c>
      <c r="F299" s="4" t="s">
        <v>42</v>
      </c>
      <c r="G299" s="4" t="s">
        <v>1649</v>
      </c>
      <c r="H299" s="4" t="s">
        <v>788</v>
      </c>
      <c r="I299" s="4" t="s">
        <v>780</v>
      </c>
      <c r="J299" s="7"/>
      <c r="K299" s="7" t="s">
        <v>1686</v>
      </c>
      <c r="L299" s="4" t="s">
        <v>782</v>
      </c>
      <c r="M299" s="4" t="s">
        <v>167</v>
      </c>
      <c r="N299" s="4" t="s">
        <v>250</v>
      </c>
      <c r="O299" s="4" t="s">
        <v>783</v>
      </c>
      <c r="P299" s="5">
        <v>46270.666666666664</v>
      </c>
      <c r="Q299" s="4" t="s">
        <v>1687</v>
      </c>
      <c r="R299" s="31" t="s">
        <v>31</v>
      </c>
      <c r="S299" s="33">
        <v>0</v>
      </c>
      <c r="T299" s="31" t="s">
        <v>94</v>
      </c>
      <c r="U299" s="33"/>
      <c r="V299" s="31" t="s">
        <v>110</v>
      </c>
      <c r="W299" s="7"/>
      <c r="X299" s="35">
        <v>46271.058773622688</v>
      </c>
      <c r="Y299" s="31" t="s">
        <v>785</v>
      </c>
      <c r="Z299" s="47"/>
      <c r="AA299" s="4"/>
      <c r="AB299" s="7"/>
    </row>
    <row r="300" spans="1:28" ht="42" customHeight="1">
      <c r="A300" s="6" t="s">
        <v>1688</v>
      </c>
      <c r="B300" s="4" t="s">
        <v>1689</v>
      </c>
      <c r="C300" s="4" t="s">
        <v>1689</v>
      </c>
      <c r="D300" s="4" t="s">
        <v>777</v>
      </c>
      <c r="E300" s="4" t="s">
        <v>778</v>
      </c>
      <c r="F300" s="4" t="s">
        <v>42</v>
      </c>
      <c r="G300" s="4" t="s">
        <v>1655</v>
      </c>
      <c r="H300" s="4" t="s">
        <v>948</v>
      </c>
      <c r="I300" s="4" t="s">
        <v>780</v>
      </c>
      <c r="J300" s="7"/>
      <c r="K300" s="7" t="s">
        <v>1690</v>
      </c>
      <c r="L300" s="4" t="s">
        <v>782</v>
      </c>
      <c r="M300" s="4" t="s">
        <v>167</v>
      </c>
      <c r="N300" s="4" t="s">
        <v>250</v>
      </c>
      <c r="O300" s="4" t="s">
        <v>783</v>
      </c>
      <c r="P300" s="5">
        <v>46270.666666666664</v>
      </c>
      <c r="Q300" s="4" t="s">
        <v>1691</v>
      </c>
      <c r="R300" s="31" t="s">
        <v>31</v>
      </c>
      <c r="S300" s="33">
        <v>0</v>
      </c>
      <c r="T300" s="31" t="s">
        <v>94</v>
      </c>
      <c r="U300" s="33"/>
      <c r="V300" s="31" t="s">
        <v>110</v>
      </c>
      <c r="W300" s="7"/>
      <c r="X300" s="35">
        <v>46271.058773622688</v>
      </c>
      <c r="Y300" s="31" t="s">
        <v>785</v>
      </c>
      <c r="Z300" s="47"/>
      <c r="AA300" s="4"/>
      <c r="AB300" s="7"/>
    </row>
    <row r="301" spans="1:28" ht="42" customHeight="1">
      <c r="A301" s="6" t="s">
        <v>1692</v>
      </c>
      <c r="B301" s="4" t="s">
        <v>1693</v>
      </c>
      <c r="C301" s="4" t="s">
        <v>1693</v>
      </c>
      <c r="D301" s="4" t="s">
        <v>777</v>
      </c>
      <c r="E301" s="4" t="s">
        <v>778</v>
      </c>
      <c r="F301" s="4" t="s">
        <v>42</v>
      </c>
      <c r="G301" s="4" t="s">
        <v>1694</v>
      </c>
      <c r="H301" s="4" t="s">
        <v>948</v>
      </c>
      <c r="I301" s="4" t="s">
        <v>780</v>
      </c>
      <c r="J301" s="7"/>
      <c r="K301" s="7" t="s">
        <v>1695</v>
      </c>
      <c r="L301" s="4" t="s">
        <v>782</v>
      </c>
      <c r="M301" s="4" t="s">
        <v>167</v>
      </c>
      <c r="N301" s="4" t="s">
        <v>250</v>
      </c>
      <c r="O301" s="4" t="s">
        <v>783</v>
      </c>
      <c r="P301" s="5">
        <v>46270.666666666664</v>
      </c>
      <c r="Q301" s="4" t="s">
        <v>1696</v>
      </c>
      <c r="R301" s="31" t="s">
        <v>31</v>
      </c>
      <c r="S301" s="33">
        <v>0</v>
      </c>
      <c r="T301" s="31" t="s">
        <v>94</v>
      </c>
      <c r="U301" s="33"/>
      <c r="V301" s="31" t="s">
        <v>110</v>
      </c>
      <c r="W301" s="7"/>
      <c r="X301" s="35">
        <v>46271.058773622688</v>
      </c>
      <c r="Y301" s="31" t="s">
        <v>785</v>
      </c>
      <c r="Z301" s="47"/>
      <c r="AA301" s="4"/>
      <c r="AB301" s="7"/>
    </row>
    <row r="302" spans="1:28" ht="42" customHeight="1">
      <c r="A302" s="6" t="s">
        <v>1697</v>
      </c>
      <c r="B302" s="4" t="s">
        <v>1698</v>
      </c>
      <c r="C302" s="4" t="s">
        <v>1698</v>
      </c>
      <c r="D302" s="4" t="s">
        <v>777</v>
      </c>
      <c r="E302" s="4" t="s">
        <v>778</v>
      </c>
      <c r="F302" s="4" t="s">
        <v>42</v>
      </c>
      <c r="G302" s="4" t="s">
        <v>1699</v>
      </c>
      <c r="H302" s="4" t="s">
        <v>1456</v>
      </c>
      <c r="I302" s="4" t="s">
        <v>780</v>
      </c>
      <c r="J302" s="7"/>
      <c r="K302" s="7" t="s">
        <v>1700</v>
      </c>
      <c r="L302" s="4" t="s">
        <v>782</v>
      </c>
      <c r="M302" s="4" t="s">
        <v>167</v>
      </c>
      <c r="N302" s="4" t="s">
        <v>250</v>
      </c>
      <c r="O302" s="4" t="s">
        <v>783</v>
      </c>
      <c r="P302" s="5">
        <v>46270.666666666664</v>
      </c>
      <c r="Q302" s="4" t="s">
        <v>1701</v>
      </c>
      <c r="R302" s="31" t="s">
        <v>31</v>
      </c>
      <c r="S302" s="33">
        <v>0</v>
      </c>
      <c r="T302" s="31" t="s">
        <v>94</v>
      </c>
      <c r="U302" s="33"/>
      <c r="V302" s="31" t="s">
        <v>110</v>
      </c>
      <c r="W302" s="7"/>
      <c r="X302" s="35">
        <v>46271.058773622688</v>
      </c>
      <c r="Y302" s="31" t="s">
        <v>785</v>
      </c>
      <c r="Z302" s="47"/>
      <c r="AA302" s="4"/>
      <c r="AB302" s="7"/>
    </row>
    <row r="303" spans="1:28" ht="42" customHeight="1">
      <c r="A303" s="6" t="s">
        <v>1702</v>
      </c>
      <c r="B303" s="4" t="s">
        <v>1703</v>
      </c>
      <c r="C303" s="4" t="s">
        <v>1703</v>
      </c>
      <c r="D303" s="4" t="s">
        <v>777</v>
      </c>
      <c r="E303" s="4" t="s">
        <v>778</v>
      </c>
      <c r="F303" s="4" t="s">
        <v>42</v>
      </c>
      <c r="G303" s="4" t="s">
        <v>1644</v>
      </c>
      <c r="H303" s="4" t="s">
        <v>1616</v>
      </c>
      <c r="I303" s="4" t="s">
        <v>780</v>
      </c>
      <c r="J303" s="7"/>
      <c r="K303" s="7" t="s">
        <v>1704</v>
      </c>
      <c r="L303" s="4" t="s">
        <v>782</v>
      </c>
      <c r="M303" s="4" t="s">
        <v>167</v>
      </c>
      <c r="N303" s="4" t="s">
        <v>250</v>
      </c>
      <c r="O303" s="4" t="s">
        <v>783</v>
      </c>
      <c r="P303" s="5">
        <v>46270.666666666664</v>
      </c>
      <c r="Q303" s="4" t="s">
        <v>1705</v>
      </c>
      <c r="R303" s="31" t="s">
        <v>31</v>
      </c>
      <c r="S303" s="33">
        <v>0</v>
      </c>
      <c r="T303" s="31" t="s">
        <v>94</v>
      </c>
      <c r="U303" s="33"/>
      <c r="V303" s="31" t="s">
        <v>110</v>
      </c>
      <c r="W303" s="7"/>
      <c r="X303" s="35">
        <v>46271.058773622688</v>
      </c>
      <c r="Y303" s="31" t="s">
        <v>785</v>
      </c>
      <c r="Z303" s="47"/>
      <c r="AA303" s="4"/>
      <c r="AB303" s="7"/>
    </row>
    <row r="304" spans="1:28" ht="42" customHeight="1">
      <c r="A304" s="6" t="s">
        <v>1706</v>
      </c>
      <c r="B304" s="4" t="s">
        <v>1707</v>
      </c>
      <c r="C304" s="4" t="s">
        <v>1707</v>
      </c>
      <c r="D304" s="4" t="s">
        <v>777</v>
      </c>
      <c r="E304" s="4" t="s">
        <v>778</v>
      </c>
      <c r="F304" s="4" t="s">
        <v>43</v>
      </c>
      <c r="G304" s="4" t="s">
        <v>1708</v>
      </c>
      <c r="H304" s="4" t="s">
        <v>788</v>
      </c>
      <c r="I304" s="4" t="s">
        <v>780</v>
      </c>
      <c r="J304" s="7"/>
      <c r="K304" s="7" t="s">
        <v>1709</v>
      </c>
      <c r="L304" s="4" t="s">
        <v>782</v>
      </c>
      <c r="M304" s="4" t="s">
        <v>167</v>
      </c>
      <c r="N304" s="4" t="s">
        <v>250</v>
      </c>
      <c r="O304" s="4" t="s">
        <v>783</v>
      </c>
      <c r="P304" s="5">
        <v>46270.666666666664</v>
      </c>
      <c r="Q304" s="4" t="s">
        <v>1710</v>
      </c>
      <c r="R304" s="31" t="s">
        <v>31</v>
      </c>
      <c r="S304" s="33">
        <v>0</v>
      </c>
      <c r="T304" s="31" t="s">
        <v>94</v>
      </c>
      <c r="U304" s="33"/>
      <c r="V304" s="31" t="s">
        <v>110</v>
      </c>
      <c r="W304" s="7"/>
      <c r="X304" s="35">
        <v>46271.058773622688</v>
      </c>
      <c r="Y304" s="31" t="s">
        <v>785</v>
      </c>
      <c r="Z304" s="47"/>
      <c r="AA304" s="4"/>
      <c r="AB304" s="7"/>
    </row>
    <row r="305" spans="1:28" ht="42" customHeight="1">
      <c r="A305" s="6" t="s">
        <v>1711</v>
      </c>
      <c r="B305" s="4" t="s">
        <v>1712</v>
      </c>
      <c r="C305" s="4" t="s">
        <v>1712</v>
      </c>
      <c r="D305" s="4" t="s">
        <v>777</v>
      </c>
      <c r="E305" s="4" t="s">
        <v>778</v>
      </c>
      <c r="F305" s="4" t="s">
        <v>43</v>
      </c>
      <c r="G305" s="4" t="s">
        <v>1713</v>
      </c>
      <c r="H305" s="4" t="s">
        <v>788</v>
      </c>
      <c r="I305" s="4" t="s">
        <v>780</v>
      </c>
      <c r="J305" s="7"/>
      <c r="K305" s="7" t="s">
        <v>1714</v>
      </c>
      <c r="L305" s="4" t="s">
        <v>782</v>
      </c>
      <c r="M305" s="4" t="s">
        <v>167</v>
      </c>
      <c r="N305" s="4" t="s">
        <v>250</v>
      </c>
      <c r="O305" s="4" t="s">
        <v>783</v>
      </c>
      <c r="P305" s="5">
        <v>46270.666666666664</v>
      </c>
      <c r="Q305" s="4" t="s">
        <v>1715</v>
      </c>
      <c r="R305" s="31" t="s">
        <v>31</v>
      </c>
      <c r="S305" s="33">
        <v>0</v>
      </c>
      <c r="T305" s="31" t="s">
        <v>94</v>
      </c>
      <c r="U305" s="33"/>
      <c r="V305" s="31" t="s">
        <v>110</v>
      </c>
      <c r="W305" s="7"/>
      <c r="X305" s="35">
        <v>46271.058773622688</v>
      </c>
      <c r="Y305" s="31" t="s">
        <v>785</v>
      </c>
      <c r="Z305" s="47"/>
      <c r="AA305" s="4"/>
      <c r="AB305" s="7"/>
    </row>
    <row r="306" spans="1:28" ht="42" customHeight="1">
      <c r="A306" s="6" t="s">
        <v>1716</v>
      </c>
      <c r="B306" s="4" t="s">
        <v>1717</v>
      </c>
      <c r="C306" s="4" t="s">
        <v>1717</v>
      </c>
      <c r="D306" s="4" t="s">
        <v>777</v>
      </c>
      <c r="E306" s="4" t="s">
        <v>778</v>
      </c>
      <c r="F306" s="4" t="s">
        <v>43</v>
      </c>
      <c r="G306" s="4" t="s">
        <v>1718</v>
      </c>
      <c r="H306" s="4" t="s">
        <v>788</v>
      </c>
      <c r="I306" s="4" t="s">
        <v>780</v>
      </c>
      <c r="J306" s="7"/>
      <c r="K306" s="7" t="s">
        <v>1719</v>
      </c>
      <c r="L306" s="4" t="s">
        <v>782</v>
      </c>
      <c r="M306" s="4" t="s">
        <v>167</v>
      </c>
      <c r="N306" s="4" t="s">
        <v>250</v>
      </c>
      <c r="O306" s="4" t="s">
        <v>783</v>
      </c>
      <c r="P306" s="5">
        <v>46270.666666666664</v>
      </c>
      <c r="Q306" s="4" t="s">
        <v>1720</v>
      </c>
      <c r="R306" s="31" t="s">
        <v>31</v>
      </c>
      <c r="S306" s="33">
        <v>0</v>
      </c>
      <c r="T306" s="31" t="s">
        <v>94</v>
      </c>
      <c r="U306" s="33"/>
      <c r="V306" s="31" t="s">
        <v>110</v>
      </c>
      <c r="W306" s="7"/>
      <c r="X306" s="35">
        <v>46271.058773622688</v>
      </c>
      <c r="Y306" s="31" t="s">
        <v>785</v>
      </c>
      <c r="Z306" s="47"/>
      <c r="AA306" s="4"/>
      <c r="AB306" s="7"/>
    </row>
    <row r="307" spans="1:28" ht="42" customHeight="1">
      <c r="A307" s="6" t="s">
        <v>1721</v>
      </c>
      <c r="B307" s="4" t="s">
        <v>1722</v>
      </c>
      <c r="C307" s="4" t="s">
        <v>1722</v>
      </c>
      <c r="D307" s="4" t="s">
        <v>777</v>
      </c>
      <c r="E307" s="4" t="s">
        <v>778</v>
      </c>
      <c r="F307" s="4" t="s">
        <v>43</v>
      </c>
      <c r="G307" s="4" t="s">
        <v>1723</v>
      </c>
      <c r="H307" s="4" t="s">
        <v>1724</v>
      </c>
      <c r="I307" s="4" t="s">
        <v>780</v>
      </c>
      <c r="J307" s="7"/>
      <c r="K307" s="7" t="s">
        <v>1725</v>
      </c>
      <c r="L307" s="4" t="s">
        <v>782</v>
      </c>
      <c r="M307" s="4" t="s">
        <v>167</v>
      </c>
      <c r="N307" s="4" t="s">
        <v>250</v>
      </c>
      <c r="O307" s="4" t="s">
        <v>783</v>
      </c>
      <c r="P307" s="5">
        <v>46270.666666666664</v>
      </c>
      <c r="Q307" s="4" t="s">
        <v>1726</v>
      </c>
      <c r="R307" s="31" t="s">
        <v>31</v>
      </c>
      <c r="S307" s="33">
        <v>0</v>
      </c>
      <c r="T307" s="31" t="s">
        <v>94</v>
      </c>
      <c r="U307" s="33"/>
      <c r="V307" s="31" t="s">
        <v>110</v>
      </c>
      <c r="W307" s="7"/>
      <c r="X307" s="35">
        <v>46271.058773622688</v>
      </c>
      <c r="Y307" s="31" t="s">
        <v>785</v>
      </c>
      <c r="Z307" s="47"/>
      <c r="AA307" s="4"/>
      <c r="AB307" s="7"/>
    </row>
    <row r="308" spans="1:28" ht="42" customHeight="1">
      <c r="A308" s="6" t="s">
        <v>1727</v>
      </c>
      <c r="B308" s="4" t="s">
        <v>1728</v>
      </c>
      <c r="C308" s="4" t="s">
        <v>1728</v>
      </c>
      <c r="D308" s="4" t="s">
        <v>777</v>
      </c>
      <c r="E308" s="4" t="s">
        <v>778</v>
      </c>
      <c r="F308" s="4" t="s">
        <v>43</v>
      </c>
      <c r="G308" s="4" t="s">
        <v>1729</v>
      </c>
      <c r="H308" s="4" t="s">
        <v>1730</v>
      </c>
      <c r="I308" s="4" t="s">
        <v>780</v>
      </c>
      <c r="J308" s="7"/>
      <c r="K308" s="7" t="s">
        <v>1731</v>
      </c>
      <c r="L308" s="4" t="s">
        <v>782</v>
      </c>
      <c r="M308" s="4" t="s">
        <v>167</v>
      </c>
      <c r="N308" s="4" t="s">
        <v>250</v>
      </c>
      <c r="O308" s="4" t="s">
        <v>783</v>
      </c>
      <c r="P308" s="5">
        <v>46270.666666666664</v>
      </c>
      <c r="Q308" s="4" t="s">
        <v>1732</v>
      </c>
      <c r="R308" s="31" t="s">
        <v>31</v>
      </c>
      <c r="S308" s="33">
        <v>0</v>
      </c>
      <c r="T308" s="31" t="s">
        <v>94</v>
      </c>
      <c r="U308" s="33"/>
      <c r="V308" s="31" t="s">
        <v>110</v>
      </c>
      <c r="W308" s="7"/>
      <c r="X308" s="35">
        <v>46271.058773622688</v>
      </c>
      <c r="Y308" s="31" t="s">
        <v>785</v>
      </c>
      <c r="Z308" s="47"/>
      <c r="AA308" s="4"/>
      <c r="AB308" s="7"/>
    </row>
    <row r="309" spans="1:28" ht="42" customHeight="1">
      <c r="A309" s="6" t="s">
        <v>1733</v>
      </c>
      <c r="B309" s="4" t="s">
        <v>1734</v>
      </c>
      <c r="C309" s="4" t="s">
        <v>1734</v>
      </c>
      <c r="D309" s="4" t="s">
        <v>777</v>
      </c>
      <c r="E309" s="4" t="s">
        <v>778</v>
      </c>
      <c r="F309" s="4" t="s">
        <v>43</v>
      </c>
      <c r="G309" s="4" t="s">
        <v>677</v>
      </c>
      <c r="H309" s="4" t="s">
        <v>788</v>
      </c>
      <c r="I309" s="4" t="s">
        <v>780</v>
      </c>
      <c r="J309" s="7"/>
      <c r="K309" s="7" t="s">
        <v>1735</v>
      </c>
      <c r="L309" s="4" t="s">
        <v>782</v>
      </c>
      <c r="M309" s="4" t="s">
        <v>167</v>
      </c>
      <c r="N309" s="4" t="s">
        <v>250</v>
      </c>
      <c r="O309" s="4" t="s">
        <v>783</v>
      </c>
      <c r="P309" s="5">
        <v>46270.666666666664</v>
      </c>
      <c r="Q309" s="4" t="s">
        <v>1736</v>
      </c>
      <c r="R309" s="31" t="s">
        <v>31</v>
      </c>
      <c r="S309" s="33">
        <v>0</v>
      </c>
      <c r="T309" s="31" t="s">
        <v>94</v>
      </c>
      <c r="U309" s="33"/>
      <c r="V309" s="31" t="s">
        <v>110</v>
      </c>
      <c r="W309" s="7"/>
      <c r="X309" s="35">
        <v>46271.058773622688</v>
      </c>
      <c r="Y309" s="31" t="s">
        <v>785</v>
      </c>
      <c r="Z309" s="47"/>
      <c r="AA309" s="4"/>
      <c r="AB309" s="7"/>
    </row>
    <row r="310" spans="1:28" ht="42" customHeight="1">
      <c r="A310" s="6" t="s">
        <v>1737</v>
      </c>
      <c r="B310" s="4" t="s">
        <v>1738</v>
      </c>
      <c r="C310" s="4" t="s">
        <v>1738</v>
      </c>
      <c r="D310" s="4" t="s">
        <v>777</v>
      </c>
      <c r="E310" s="4" t="s">
        <v>778</v>
      </c>
      <c r="F310" s="4" t="s">
        <v>43</v>
      </c>
      <c r="G310" s="4" t="s">
        <v>1739</v>
      </c>
      <c r="H310" s="4" t="s">
        <v>1152</v>
      </c>
      <c r="I310" s="4" t="s">
        <v>780</v>
      </c>
      <c r="J310" s="7"/>
      <c r="K310" s="7" t="s">
        <v>1740</v>
      </c>
      <c r="L310" s="4" t="s">
        <v>782</v>
      </c>
      <c r="M310" s="4" t="s">
        <v>167</v>
      </c>
      <c r="N310" s="4" t="s">
        <v>250</v>
      </c>
      <c r="O310" s="4" t="s">
        <v>783</v>
      </c>
      <c r="P310" s="5">
        <v>46270.666666666664</v>
      </c>
      <c r="Q310" s="4" t="s">
        <v>1741</v>
      </c>
      <c r="R310" s="31" t="s">
        <v>31</v>
      </c>
      <c r="S310" s="33">
        <v>0</v>
      </c>
      <c r="T310" s="31" t="s">
        <v>94</v>
      </c>
      <c r="U310" s="33"/>
      <c r="V310" s="31" t="s">
        <v>110</v>
      </c>
      <c r="W310" s="7"/>
      <c r="X310" s="35">
        <v>46271.058773622688</v>
      </c>
      <c r="Y310" s="31" t="s">
        <v>785</v>
      </c>
      <c r="Z310" s="47"/>
      <c r="AA310" s="4"/>
      <c r="AB310" s="7"/>
    </row>
    <row r="311" spans="1:28" ht="42" customHeight="1">
      <c r="A311" s="6" t="s">
        <v>1742</v>
      </c>
      <c r="B311" s="4" t="s">
        <v>1743</v>
      </c>
      <c r="C311" s="4" t="s">
        <v>1743</v>
      </c>
      <c r="D311" s="4" t="s">
        <v>777</v>
      </c>
      <c r="E311" s="4" t="s">
        <v>778</v>
      </c>
      <c r="F311" s="4" t="s">
        <v>43</v>
      </c>
      <c r="G311" s="4" t="s">
        <v>1744</v>
      </c>
      <c r="H311" s="4" t="s">
        <v>476</v>
      </c>
      <c r="I311" s="4" t="s">
        <v>780</v>
      </c>
      <c r="J311" s="7"/>
      <c r="K311" s="7" t="s">
        <v>1745</v>
      </c>
      <c r="L311" s="4" t="s">
        <v>782</v>
      </c>
      <c r="M311" s="4" t="s">
        <v>167</v>
      </c>
      <c r="N311" s="4" t="s">
        <v>250</v>
      </c>
      <c r="O311" s="4" t="s">
        <v>783</v>
      </c>
      <c r="P311" s="5">
        <v>46270.666666666664</v>
      </c>
      <c r="Q311" s="4" t="s">
        <v>1746</v>
      </c>
      <c r="R311" s="31" t="s">
        <v>31</v>
      </c>
      <c r="S311" s="33">
        <v>0</v>
      </c>
      <c r="T311" s="31" t="s">
        <v>94</v>
      </c>
      <c r="U311" s="33"/>
      <c r="V311" s="31" t="s">
        <v>110</v>
      </c>
      <c r="W311" s="7"/>
      <c r="X311" s="35">
        <v>46271.058773622688</v>
      </c>
      <c r="Y311" s="31" t="s">
        <v>785</v>
      </c>
      <c r="Z311" s="47"/>
      <c r="AA311" s="4"/>
      <c r="AB311" s="7"/>
    </row>
    <row r="312" spans="1:28" ht="42" customHeight="1">
      <c r="A312" s="6" t="s">
        <v>1747</v>
      </c>
      <c r="B312" s="4" t="s">
        <v>1748</v>
      </c>
      <c r="C312" s="4" t="s">
        <v>1748</v>
      </c>
      <c r="D312" s="4" t="s">
        <v>777</v>
      </c>
      <c r="E312" s="4" t="s">
        <v>778</v>
      </c>
      <c r="F312" s="4" t="s">
        <v>43</v>
      </c>
      <c r="G312" s="4" t="s">
        <v>1749</v>
      </c>
      <c r="H312" s="4" t="s">
        <v>948</v>
      </c>
      <c r="I312" s="4" t="s">
        <v>780</v>
      </c>
      <c r="J312" s="7"/>
      <c r="K312" s="7" t="s">
        <v>1750</v>
      </c>
      <c r="L312" s="4" t="s">
        <v>782</v>
      </c>
      <c r="M312" s="4" t="s">
        <v>167</v>
      </c>
      <c r="N312" s="4" t="s">
        <v>250</v>
      </c>
      <c r="O312" s="4" t="s">
        <v>783</v>
      </c>
      <c r="P312" s="5">
        <v>46270.666666666664</v>
      </c>
      <c r="Q312" s="4" t="s">
        <v>1751</v>
      </c>
      <c r="R312" s="31" t="s">
        <v>31</v>
      </c>
      <c r="S312" s="33">
        <v>0</v>
      </c>
      <c r="T312" s="31" t="s">
        <v>94</v>
      </c>
      <c r="U312" s="33"/>
      <c r="V312" s="31" t="s">
        <v>110</v>
      </c>
      <c r="W312" s="7"/>
      <c r="X312" s="35">
        <v>46271.058773622688</v>
      </c>
      <c r="Y312" s="31" t="s">
        <v>785</v>
      </c>
      <c r="Z312" s="47"/>
      <c r="AA312" s="4"/>
      <c r="AB312" s="7"/>
    </row>
    <row r="313" spans="1:28" ht="42" customHeight="1">
      <c r="A313" s="6" t="s">
        <v>1752</v>
      </c>
      <c r="B313" s="4" t="s">
        <v>1753</v>
      </c>
      <c r="C313" s="4" t="s">
        <v>1753</v>
      </c>
      <c r="D313" s="4" t="s">
        <v>777</v>
      </c>
      <c r="E313" s="4" t="s">
        <v>778</v>
      </c>
      <c r="F313" s="4" t="s">
        <v>43</v>
      </c>
      <c r="G313" s="4" t="s">
        <v>1754</v>
      </c>
      <c r="H313" s="4" t="s">
        <v>1034</v>
      </c>
      <c r="I313" s="4" t="s">
        <v>780</v>
      </c>
      <c r="J313" s="7"/>
      <c r="K313" s="7" t="s">
        <v>1755</v>
      </c>
      <c r="L313" s="4" t="s">
        <v>782</v>
      </c>
      <c r="M313" s="4" t="s">
        <v>167</v>
      </c>
      <c r="N313" s="4" t="s">
        <v>250</v>
      </c>
      <c r="O313" s="4" t="s">
        <v>783</v>
      </c>
      <c r="P313" s="5">
        <v>46270.666666666664</v>
      </c>
      <c r="Q313" s="4" t="s">
        <v>1756</v>
      </c>
      <c r="R313" s="31" t="s">
        <v>31</v>
      </c>
      <c r="S313" s="33">
        <v>0</v>
      </c>
      <c r="T313" s="31" t="s">
        <v>94</v>
      </c>
      <c r="U313" s="33"/>
      <c r="V313" s="31" t="s">
        <v>110</v>
      </c>
      <c r="W313" s="7"/>
      <c r="X313" s="35">
        <v>46271.058773622688</v>
      </c>
      <c r="Y313" s="31" t="s">
        <v>785</v>
      </c>
      <c r="Z313" s="47"/>
      <c r="AA313" s="4"/>
      <c r="AB313" s="7"/>
    </row>
    <row r="314" spans="1:28" ht="42" customHeight="1">
      <c r="A314" s="6" t="s">
        <v>1757</v>
      </c>
      <c r="B314" s="4" t="s">
        <v>1758</v>
      </c>
      <c r="C314" s="4" t="s">
        <v>1758</v>
      </c>
      <c r="D314" s="4" t="s">
        <v>777</v>
      </c>
      <c r="E314" s="4" t="s">
        <v>778</v>
      </c>
      <c r="F314" s="4" t="s">
        <v>43</v>
      </c>
      <c r="G314" s="4" t="s">
        <v>1759</v>
      </c>
      <c r="H314" s="4" t="s">
        <v>788</v>
      </c>
      <c r="I314" s="4" t="s">
        <v>780</v>
      </c>
      <c r="J314" s="7"/>
      <c r="K314" s="7" t="s">
        <v>1760</v>
      </c>
      <c r="L314" s="4" t="s">
        <v>782</v>
      </c>
      <c r="M314" s="4" t="s">
        <v>167</v>
      </c>
      <c r="N314" s="4" t="s">
        <v>250</v>
      </c>
      <c r="O314" s="4" t="s">
        <v>783</v>
      </c>
      <c r="P314" s="5">
        <v>46270.666666666664</v>
      </c>
      <c r="Q314" s="4" t="s">
        <v>1761</v>
      </c>
      <c r="R314" s="31" t="s">
        <v>31</v>
      </c>
      <c r="S314" s="33">
        <v>0</v>
      </c>
      <c r="T314" s="31" t="s">
        <v>94</v>
      </c>
      <c r="U314" s="33"/>
      <c r="V314" s="31" t="s">
        <v>110</v>
      </c>
      <c r="W314" s="7"/>
      <c r="X314" s="35">
        <v>46271.058773622688</v>
      </c>
      <c r="Y314" s="31" t="s">
        <v>785</v>
      </c>
      <c r="Z314" s="47"/>
      <c r="AA314" s="4"/>
      <c r="AB314" s="7"/>
    </row>
    <row r="315" spans="1:28" ht="42" customHeight="1">
      <c r="A315" s="6" t="s">
        <v>1762</v>
      </c>
      <c r="B315" s="4" t="s">
        <v>1763</v>
      </c>
      <c r="C315" s="4" t="s">
        <v>1763</v>
      </c>
      <c r="D315" s="4" t="s">
        <v>777</v>
      </c>
      <c r="E315" s="4" t="s">
        <v>778</v>
      </c>
      <c r="F315" s="4" t="s">
        <v>43</v>
      </c>
      <c r="G315" s="4" t="s">
        <v>1764</v>
      </c>
      <c r="H315" s="4" t="s">
        <v>476</v>
      </c>
      <c r="I315" s="4" t="s">
        <v>780</v>
      </c>
      <c r="J315" s="7"/>
      <c r="K315" s="7" t="s">
        <v>1765</v>
      </c>
      <c r="L315" s="4" t="s">
        <v>782</v>
      </c>
      <c r="M315" s="4" t="s">
        <v>167</v>
      </c>
      <c r="N315" s="4" t="s">
        <v>250</v>
      </c>
      <c r="O315" s="4" t="s">
        <v>783</v>
      </c>
      <c r="P315" s="5">
        <v>46270.666666666664</v>
      </c>
      <c r="Q315" s="4" t="s">
        <v>1766</v>
      </c>
      <c r="R315" s="31" t="s">
        <v>31</v>
      </c>
      <c r="S315" s="33">
        <v>0</v>
      </c>
      <c r="T315" s="31" t="s">
        <v>94</v>
      </c>
      <c r="U315" s="33"/>
      <c r="V315" s="31" t="s">
        <v>110</v>
      </c>
      <c r="W315" s="7"/>
      <c r="X315" s="35">
        <v>46271.058773622688</v>
      </c>
      <c r="Y315" s="31" t="s">
        <v>785</v>
      </c>
      <c r="Z315" s="47"/>
      <c r="AA315" s="4"/>
      <c r="AB315" s="7"/>
    </row>
    <row r="316" spans="1:28" ht="42" customHeight="1">
      <c r="A316" s="6" t="s">
        <v>1767</v>
      </c>
      <c r="B316" s="4" t="s">
        <v>1768</v>
      </c>
      <c r="C316" s="4" t="s">
        <v>1768</v>
      </c>
      <c r="D316" s="4" t="s">
        <v>777</v>
      </c>
      <c r="E316" s="4" t="s">
        <v>778</v>
      </c>
      <c r="F316" s="4" t="s">
        <v>43</v>
      </c>
      <c r="G316" s="4" t="s">
        <v>1769</v>
      </c>
      <c r="H316" s="4" t="s">
        <v>788</v>
      </c>
      <c r="I316" s="4" t="s">
        <v>780</v>
      </c>
      <c r="J316" s="7"/>
      <c r="K316" s="7" t="s">
        <v>1770</v>
      </c>
      <c r="L316" s="4" t="s">
        <v>782</v>
      </c>
      <c r="M316" s="4" t="s">
        <v>167</v>
      </c>
      <c r="N316" s="4" t="s">
        <v>250</v>
      </c>
      <c r="O316" s="4" t="s">
        <v>783</v>
      </c>
      <c r="P316" s="5">
        <v>46270.666666666664</v>
      </c>
      <c r="Q316" s="4" t="s">
        <v>1771</v>
      </c>
      <c r="R316" s="31" t="s">
        <v>31</v>
      </c>
      <c r="S316" s="33">
        <v>0</v>
      </c>
      <c r="T316" s="31" t="s">
        <v>94</v>
      </c>
      <c r="U316" s="33"/>
      <c r="V316" s="31" t="s">
        <v>110</v>
      </c>
      <c r="W316" s="7"/>
      <c r="X316" s="35">
        <v>46271.058773622688</v>
      </c>
      <c r="Y316" s="31" t="s">
        <v>785</v>
      </c>
      <c r="Z316" s="47"/>
      <c r="AA316" s="4"/>
      <c r="AB316" s="7"/>
    </row>
    <row r="317" spans="1:28" ht="42" customHeight="1">
      <c r="A317" s="6" t="s">
        <v>1772</v>
      </c>
      <c r="B317" s="4" t="s">
        <v>1773</v>
      </c>
      <c r="C317" s="4" t="s">
        <v>1773</v>
      </c>
      <c r="D317" s="4" t="s">
        <v>777</v>
      </c>
      <c r="E317" s="4" t="s">
        <v>778</v>
      </c>
      <c r="F317" s="4" t="s">
        <v>43</v>
      </c>
      <c r="G317" s="4" t="s">
        <v>1774</v>
      </c>
      <c r="H317" s="4" t="s">
        <v>788</v>
      </c>
      <c r="I317" s="4" t="s">
        <v>780</v>
      </c>
      <c r="J317" s="7"/>
      <c r="K317" s="7" t="s">
        <v>1775</v>
      </c>
      <c r="L317" s="4" t="s">
        <v>782</v>
      </c>
      <c r="M317" s="4" t="s">
        <v>167</v>
      </c>
      <c r="N317" s="4" t="s">
        <v>250</v>
      </c>
      <c r="O317" s="4" t="s">
        <v>783</v>
      </c>
      <c r="P317" s="5">
        <v>46270.666666666664</v>
      </c>
      <c r="Q317" s="4" t="s">
        <v>1776</v>
      </c>
      <c r="R317" s="31" t="s">
        <v>31</v>
      </c>
      <c r="S317" s="33">
        <v>0</v>
      </c>
      <c r="T317" s="31" t="s">
        <v>94</v>
      </c>
      <c r="U317" s="33"/>
      <c r="V317" s="31" t="s">
        <v>110</v>
      </c>
      <c r="W317" s="7"/>
      <c r="X317" s="35">
        <v>46271.058773622688</v>
      </c>
      <c r="Y317" s="31" t="s">
        <v>785</v>
      </c>
      <c r="Z317" s="47"/>
      <c r="AA317" s="4"/>
      <c r="AB317" s="7"/>
    </row>
    <row r="318" spans="1:28" ht="42" customHeight="1">
      <c r="A318" s="6" t="s">
        <v>1777</v>
      </c>
      <c r="B318" s="4" t="s">
        <v>1778</v>
      </c>
      <c r="C318" s="4" t="s">
        <v>1778</v>
      </c>
      <c r="D318" s="4" t="s">
        <v>777</v>
      </c>
      <c r="E318" s="4" t="s">
        <v>778</v>
      </c>
      <c r="F318" s="4" t="s">
        <v>43</v>
      </c>
      <c r="G318" s="4" t="s">
        <v>1779</v>
      </c>
      <c r="H318" s="4" t="s">
        <v>948</v>
      </c>
      <c r="I318" s="4" t="s">
        <v>780</v>
      </c>
      <c r="J318" s="7"/>
      <c r="K318" s="7" t="s">
        <v>1780</v>
      </c>
      <c r="L318" s="4" t="s">
        <v>782</v>
      </c>
      <c r="M318" s="4" t="s">
        <v>167</v>
      </c>
      <c r="N318" s="4" t="s">
        <v>250</v>
      </c>
      <c r="O318" s="4" t="s">
        <v>783</v>
      </c>
      <c r="P318" s="5">
        <v>46270.666666666664</v>
      </c>
      <c r="Q318" s="4" t="s">
        <v>1781</v>
      </c>
      <c r="R318" s="31" t="s">
        <v>31</v>
      </c>
      <c r="S318" s="33">
        <v>0</v>
      </c>
      <c r="T318" s="31" t="s">
        <v>94</v>
      </c>
      <c r="U318" s="33"/>
      <c r="V318" s="31" t="s">
        <v>110</v>
      </c>
      <c r="W318" s="7"/>
      <c r="X318" s="35">
        <v>46271.058773622688</v>
      </c>
      <c r="Y318" s="31" t="s">
        <v>785</v>
      </c>
      <c r="Z318" s="47"/>
      <c r="AA318" s="4"/>
      <c r="AB318" s="7"/>
    </row>
    <row r="319" spans="1:28" ht="42" customHeight="1">
      <c r="A319" s="6" t="s">
        <v>1782</v>
      </c>
      <c r="B319" s="4" t="s">
        <v>1783</v>
      </c>
      <c r="C319" s="4" t="s">
        <v>1783</v>
      </c>
      <c r="D319" s="4" t="s">
        <v>777</v>
      </c>
      <c r="E319" s="4" t="s">
        <v>778</v>
      </c>
      <c r="F319" s="4" t="s">
        <v>43</v>
      </c>
      <c r="G319" s="4"/>
      <c r="H319" s="4" t="s">
        <v>974</v>
      </c>
      <c r="I319" s="4" t="s">
        <v>780</v>
      </c>
      <c r="J319" s="7"/>
      <c r="K319" s="7" t="s">
        <v>1784</v>
      </c>
      <c r="L319" s="4" t="s">
        <v>782</v>
      </c>
      <c r="M319" s="4" t="s">
        <v>167</v>
      </c>
      <c r="N319" s="4" t="s">
        <v>250</v>
      </c>
      <c r="O319" s="4" t="s">
        <v>783</v>
      </c>
      <c r="P319" s="5">
        <v>46270.666666666664</v>
      </c>
      <c r="Q319" s="4" t="s">
        <v>1785</v>
      </c>
      <c r="R319" s="31" t="s">
        <v>31</v>
      </c>
      <c r="S319" s="33">
        <v>0</v>
      </c>
      <c r="T319" s="31" t="s">
        <v>94</v>
      </c>
      <c r="U319" s="33"/>
      <c r="V319" s="31" t="s">
        <v>110</v>
      </c>
      <c r="W319" s="7"/>
      <c r="X319" s="35">
        <v>46271.058773622688</v>
      </c>
      <c r="Y319" s="31" t="s">
        <v>785</v>
      </c>
      <c r="Z319" s="47"/>
      <c r="AA319" s="4"/>
      <c r="AB319" s="7"/>
    </row>
    <row r="320" spans="1:28" ht="42" customHeight="1">
      <c r="A320" s="6" t="s">
        <v>1786</v>
      </c>
      <c r="B320" s="4" t="s">
        <v>1787</v>
      </c>
      <c r="C320" s="4" t="s">
        <v>1787</v>
      </c>
      <c r="D320" s="4" t="s">
        <v>777</v>
      </c>
      <c r="E320" s="4" t="s">
        <v>778</v>
      </c>
      <c r="F320" s="4" t="s">
        <v>43</v>
      </c>
      <c r="G320" s="4" t="s">
        <v>1788</v>
      </c>
      <c r="H320" s="4" t="s">
        <v>1308</v>
      </c>
      <c r="I320" s="4" t="s">
        <v>780</v>
      </c>
      <c r="J320" s="7"/>
      <c r="K320" s="7" t="s">
        <v>1789</v>
      </c>
      <c r="L320" s="4" t="s">
        <v>782</v>
      </c>
      <c r="M320" s="4" t="s">
        <v>167</v>
      </c>
      <c r="N320" s="4" t="s">
        <v>250</v>
      </c>
      <c r="O320" s="4" t="s">
        <v>783</v>
      </c>
      <c r="P320" s="5">
        <v>46270.666666666664</v>
      </c>
      <c r="Q320" s="4" t="s">
        <v>1790</v>
      </c>
      <c r="R320" s="31" t="s">
        <v>31</v>
      </c>
      <c r="S320" s="33">
        <v>0</v>
      </c>
      <c r="T320" s="31" t="s">
        <v>94</v>
      </c>
      <c r="U320" s="33"/>
      <c r="V320" s="31" t="s">
        <v>110</v>
      </c>
      <c r="W320" s="7"/>
      <c r="X320" s="35">
        <v>46271.058773622688</v>
      </c>
      <c r="Y320" s="31" t="s">
        <v>785</v>
      </c>
      <c r="Z320" s="47"/>
      <c r="AA320" s="4"/>
      <c r="AB320" s="7"/>
    </row>
    <row r="321" spans="1:28" ht="42" customHeight="1">
      <c r="A321" s="6" t="s">
        <v>1791</v>
      </c>
      <c r="B321" s="4" t="s">
        <v>1792</v>
      </c>
      <c r="C321" s="4" t="s">
        <v>1792</v>
      </c>
      <c r="D321" s="4" t="s">
        <v>777</v>
      </c>
      <c r="E321" s="4" t="s">
        <v>778</v>
      </c>
      <c r="F321" s="4" t="s">
        <v>43</v>
      </c>
      <c r="G321" s="4" t="s">
        <v>1708</v>
      </c>
      <c r="H321" s="4" t="s">
        <v>788</v>
      </c>
      <c r="I321" s="4" t="s">
        <v>780</v>
      </c>
      <c r="J321" s="7"/>
      <c r="K321" s="7" t="s">
        <v>1793</v>
      </c>
      <c r="L321" s="4" t="s">
        <v>782</v>
      </c>
      <c r="M321" s="4" t="s">
        <v>167</v>
      </c>
      <c r="N321" s="4" t="s">
        <v>250</v>
      </c>
      <c r="O321" s="4" t="s">
        <v>783</v>
      </c>
      <c r="P321" s="5">
        <v>46270.666666666664</v>
      </c>
      <c r="Q321" s="4" t="s">
        <v>1794</v>
      </c>
      <c r="R321" s="31" t="s">
        <v>31</v>
      </c>
      <c r="S321" s="33">
        <v>0</v>
      </c>
      <c r="T321" s="31" t="s">
        <v>94</v>
      </c>
      <c r="U321" s="33"/>
      <c r="V321" s="31" t="s">
        <v>110</v>
      </c>
      <c r="W321" s="7"/>
      <c r="X321" s="35">
        <v>46271.058773622688</v>
      </c>
      <c r="Y321" s="31" t="s">
        <v>785</v>
      </c>
      <c r="Z321" s="47"/>
      <c r="AA321" s="4"/>
      <c r="AB321" s="7"/>
    </row>
    <row r="322" spans="1:28" ht="42" customHeight="1">
      <c r="A322" s="6" t="s">
        <v>1795</v>
      </c>
      <c r="B322" s="4" t="s">
        <v>1796</v>
      </c>
      <c r="C322" s="4" t="s">
        <v>1796</v>
      </c>
      <c r="D322" s="4" t="s">
        <v>777</v>
      </c>
      <c r="E322" s="4" t="s">
        <v>778</v>
      </c>
      <c r="F322" s="4" t="s">
        <v>43</v>
      </c>
      <c r="G322" s="4" t="s">
        <v>1797</v>
      </c>
      <c r="H322" s="4" t="s">
        <v>788</v>
      </c>
      <c r="I322" s="4" t="s">
        <v>780</v>
      </c>
      <c r="J322" s="7"/>
      <c r="K322" s="7" t="s">
        <v>1798</v>
      </c>
      <c r="L322" s="4" t="s">
        <v>782</v>
      </c>
      <c r="M322" s="4" t="s">
        <v>167</v>
      </c>
      <c r="N322" s="4" t="s">
        <v>250</v>
      </c>
      <c r="O322" s="4" t="s">
        <v>783</v>
      </c>
      <c r="P322" s="5">
        <v>46270.666666666664</v>
      </c>
      <c r="Q322" s="4" t="s">
        <v>1799</v>
      </c>
      <c r="R322" s="31" t="s">
        <v>31</v>
      </c>
      <c r="S322" s="33">
        <v>0</v>
      </c>
      <c r="T322" s="31" t="s">
        <v>94</v>
      </c>
      <c r="U322" s="33"/>
      <c r="V322" s="31" t="s">
        <v>110</v>
      </c>
      <c r="W322" s="7"/>
      <c r="X322" s="35">
        <v>46271.058773622688</v>
      </c>
      <c r="Y322" s="31" t="s">
        <v>785</v>
      </c>
      <c r="Z322" s="47"/>
      <c r="AA322" s="4"/>
      <c r="AB322" s="7"/>
    </row>
    <row r="323" spans="1:28" ht="42" customHeight="1">
      <c r="A323" s="6" t="s">
        <v>1800</v>
      </c>
      <c r="B323" s="4" t="s">
        <v>1801</v>
      </c>
      <c r="C323" s="4" t="s">
        <v>1801</v>
      </c>
      <c r="D323" s="4" t="s">
        <v>777</v>
      </c>
      <c r="E323" s="4" t="s">
        <v>778</v>
      </c>
      <c r="F323" s="4" t="s">
        <v>43</v>
      </c>
      <c r="G323" s="4" t="s">
        <v>1788</v>
      </c>
      <c r="H323" s="4" t="s">
        <v>181</v>
      </c>
      <c r="I323" s="4" t="s">
        <v>780</v>
      </c>
      <c r="J323" s="7"/>
      <c r="K323" s="7" t="s">
        <v>1802</v>
      </c>
      <c r="L323" s="4" t="s">
        <v>782</v>
      </c>
      <c r="M323" s="4" t="s">
        <v>167</v>
      </c>
      <c r="N323" s="4" t="s">
        <v>250</v>
      </c>
      <c r="O323" s="4" t="s">
        <v>783</v>
      </c>
      <c r="P323" s="5">
        <v>46270.666666666664</v>
      </c>
      <c r="Q323" s="4" t="s">
        <v>1803</v>
      </c>
      <c r="R323" s="31" t="s">
        <v>31</v>
      </c>
      <c r="S323" s="33">
        <v>0</v>
      </c>
      <c r="T323" s="31" t="s">
        <v>94</v>
      </c>
      <c r="U323" s="33"/>
      <c r="V323" s="31" t="s">
        <v>110</v>
      </c>
      <c r="W323" s="7"/>
      <c r="X323" s="35">
        <v>46271.058773622688</v>
      </c>
      <c r="Y323" s="31" t="s">
        <v>785</v>
      </c>
      <c r="Z323" s="47"/>
      <c r="AA323" s="4"/>
      <c r="AB323" s="7"/>
    </row>
    <row r="324" spans="1:28" ht="42" customHeight="1">
      <c r="A324" s="6" t="s">
        <v>1804</v>
      </c>
      <c r="B324" s="4" t="s">
        <v>1805</v>
      </c>
      <c r="C324" s="4" t="s">
        <v>1805</v>
      </c>
      <c r="D324" s="4" t="s">
        <v>777</v>
      </c>
      <c r="E324" s="4" t="s">
        <v>778</v>
      </c>
      <c r="F324" s="4" t="s">
        <v>43</v>
      </c>
      <c r="G324" s="4" t="s">
        <v>1806</v>
      </c>
      <c r="H324" s="4" t="s">
        <v>1308</v>
      </c>
      <c r="I324" s="4" t="s">
        <v>780</v>
      </c>
      <c r="J324" s="7"/>
      <c r="K324" s="7" t="s">
        <v>1807</v>
      </c>
      <c r="L324" s="4" t="s">
        <v>782</v>
      </c>
      <c r="M324" s="4" t="s">
        <v>167</v>
      </c>
      <c r="N324" s="4" t="s">
        <v>250</v>
      </c>
      <c r="O324" s="4" t="s">
        <v>783</v>
      </c>
      <c r="P324" s="5">
        <v>46270.666666666664</v>
      </c>
      <c r="Q324" s="4" t="s">
        <v>1808</v>
      </c>
      <c r="R324" s="31" t="s">
        <v>31</v>
      </c>
      <c r="S324" s="33">
        <v>0</v>
      </c>
      <c r="T324" s="31" t="s">
        <v>94</v>
      </c>
      <c r="U324" s="33"/>
      <c r="V324" s="31" t="s">
        <v>110</v>
      </c>
      <c r="W324" s="7"/>
      <c r="X324" s="35">
        <v>46271.058773622688</v>
      </c>
      <c r="Y324" s="31" t="s">
        <v>785</v>
      </c>
      <c r="Z324" s="47"/>
      <c r="AA324" s="4"/>
      <c r="AB324" s="7"/>
    </row>
    <row r="325" spans="1:28" ht="42" customHeight="1">
      <c r="A325" s="6" t="s">
        <v>1809</v>
      </c>
      <c r="B325" s="4" t="s">
        <v>1810</v>
      </c>
      <c r="C325" s="4" t="s">
        <v>1810</v>
      </c>
      <c r="D325" s="4" t="s">
        <v>777</v>
      </c>
      <c r="E325" s="4" t="s">
        <v>778</v>
      </c>
      <c r="F325" s="4" t="s">
        <v>43</v>
      </c>
      <c r="G325" s="4" t="s">
        <v>1811</v>
      </c>
      <c r="H325" s="4" t="s">
        <v>974</v>
      </c>
      <c r="I325" s="4" t="s">
        <v>780</v>
      </c>
      <c r="J325" s="7"/>
      <c r="K325" s="7" t="s">
        <v>1812</v>
      </c>
      <c r="L325" s="4" t="s">
        <v>782</v>
      </c>
      <c r="M325" s="4" t="s">
        <v>167</v>
      </c>
      <c r="N325" s="4" t="s">
        <v>250</v>
      </c>
      <c r="O325" s="4" t="s">
        <v>783</v>
      </c>
      <c r="P325" s="5">
        <v>46270.666666666664</v>
      </c>
      <c r="Q325" s="4" t="s">
        <v>1813</v>
      </c>
      <c r="R325" s="31" t="s">
        <v>31</v>
      </c>
      <c r="S325" s="33">
        <v>0</v>
      </c>
      <c r="T325" s="31" t="s">
        <v>94</v>
      </c>
      <c r="U325" s="33"/>
      <c r="V325" s="31" t="s">
        <v>110</v>
      </c>
      <c r="W325" s="7"/>
      <c r="X325" s="35">
        <v>46271.058773622688</v>
      </c>
      <c r="Y325" s="31" t="s">
        <v>785</v>
      </c>
      <c r="Z325" s="47"/>
      <c r="AA325" s="4"/>
      <c r="AB325" s="7"/>
    </row>
    <row r="326" spans="1:28" ht="42" customHeight="1">
      <c r="A326" s="6" t="s">
        <v>1814</v>
      </c>
      <c r="B326" s="4" t="s">
        <v>1815</v>
      </c>
      <c r="C326" s="4" t="s">
        <v>1815</v>
      </c>
      <c r="D326" s="4" t="s">
        <v>777</v>
      </c>
      <c r="E326" s="4" t="s">
        <v>778</v>
      </c>
      <c r="F326" s="4" t="s">
        <v>43</v>
      </c>
      <c r="G326" s="4" t="s">
        <v>1816</v>
      </c>
      <c r="H326" s="4" t="s">
        <v>788</v>
      </c>
      <c r="I326" s="4" t="s">
        <v>780</v>
      </c>
      <c r="J326" s="7"/>
      <c r="K326" s="7" t="s">
        <v>1817</v>
      </c>
      <c r="L326" s="4" t="s">
        <v>782</v>
      </c>
      <c r="M326" s="4" t="s">
        <v>167</v>
      </c>
      <c r="N326" s="4" t="s">
        <v>250</v>
      </c>
      <c r="O326" s="4" t="s">
        <v>783</v>
      </c>
      <c r="P326" s="5">
        <v>46270.666666666664</v>
      </c>
      <c r="Q326" s="4" t="s">
        <v>1818</v>
      </c>
      <c r="R326" s="31" t="s">
        <v>31</v>
      </c>
      <c r="S326" s="33">
        <v>0</v>
      </c>
      <c r="T326" s="31" t="s">
        <v>94</v>
      </c>
      <c r="U326" s="33"/>
      <c r="V326" s="31" t="s">
        <v>110</v>
      </c>
      <c r="W326" s="7"/>
      <c r="X326" s="35">
        <v>46271.058773622688</v>
      </c>
      <c r="Y326" s="31" t="s">
        <v>785</v>
      </c>
      <c r="Z326" s="47"/>
      <c r="AA326" s="4"/>
      <c r="AB326" s="7"/>
    </row>
    <row r="327" spans="1:28" ht="42" customHeight="1">
      <c r="A327" s="6" t="s">
        <v>1819</v>
      </c>
      <c r="B327" s="4" t="s">
        <v>1820</v>
      </c>
      <c r="C327" s="4" t="s">
        <v>1820</v>
      </c>
      <c r="D327" s="4" t="s">
        <v>777</v>
      </c>
      <c r="E327" s="4" t="s">
        <v>778</v>
      </c>
      <c r="F327" s="4" t="s">
        <v>43</v>
      </c>
      <c r="G327" s="4" t="s">
        <v>1821</v>
      </c>
      <c r="H327" s="4" t="s">
        <v>788</v>
      </c>
      <c r="I327" s="4" t="s">
        <v>780</v>
      </c>
      <c r="J327" s="7"/>
      <c r="K327" s="7" t="s">
        <v>1822</v>
      </c>
      <c r="L327" s="4" t="s">
        <v>782</v>
      </c>
      <c r="M327" s="4" t="s">
        <v>167</v>
      </c>
      <c r="N327" s="4" t="s">
        <v>250</v>
      </c>
      <c r="O327" s="4" t="s">
        <v>783</v>
      </c>
      <c r="P327" s="5">
        <v>46270.666666666664</v>
      </c>
      <c r="Q327" s="4" t="s">
        <v>1823</v>
      </c>
      <c r="R327" s="31" t="s">
        <v>31</v>
      </c>
      <c r="S327" s="33">
        <v>0</v>
      </c>
      <c r="T327" s="31" t="s">
        <v>94</v>
      </c>
      <c r="U327" s="33"/>
      <c r="V327" s="31" t="s">
        <v>110</v>
      </c>
      <c r="W327" s="7"/>
      <c r="X327" s="35">
        <v>46271.058773634257</v>
      </c>
      <c r="Y327" s="31" t="s">
        <v>785</v>
      </c>
      <c r="Z327" s="47"/>
      <c r="AA327" s="4"/>
      <c r="AB327" s="7"/>
    </row>
    <row r="328" spans="1:28" ht="42" customHeight="1">
      <c r="A328" s="6" t="s">
        <v>1824</v>
      </c>
      <c r="B328" s="4" t="s">
        <v>1825</v>
      </c>
      <c r="C328" s="4" t="s">
        <v>1825</v>
      </c>
      <c r="D328" s="4" t="s">
        <v>777</v>
      </c>
      <c r="E328" s="4" t="s">
        <v>778</v>
      </c>
      <c r="F328" s="4" t="s">
        <v>43</v>
      </c>
      <c r="G328" s="4" t="s">
        <v>1826</v>
      </c>
      <c r="H328" s="4" t="s">
        <v>788</v>
      </c>
      <c r="I328" s="4" t="s">
        <v>780</v>
      </c>
      <c r="J328" s="7"/>
      <c r="K328" s="7" t="s">
        <v>1827</v>
      </c>
      <c r="L328" s="4" t="s">
        <v>782</v>
      </c>
      <c r="M328" s="4" t="s">
        <v>167</v>
      </c>
      <c r="N328" s="4" t="s">
        <v>250</v>
      </c>
      <c r="O328" s="4" t="s">
        <v>783</v>
      </c>
      <c r="P328" s="5">
        <v>46270.666666666664</v>
      </c>
      <c r="Q328" s="4" t="s">
        <v>1828</v>
      </c>
      <c r="R328" s="31" t="s">
        <v>31</v>
      </c>
      <c r="S328" s="33">
        <v>0</v>
      </c>
      <c r="T328" s="31" t="s">
        <v>94</v>
      </c>
      <c r="U328" s="33"/>
      <c r="V328" s="31" t="s">
        <v>110</v>
      </c>
      <c r="W328" s="7"/>
      <c r="X328" s="35">
        <v>46271.058773634257</v>
      </c>
      <c r="Y328" s="31" t="s">
        <v>785</v>
      </c>
      <c r="Z328" s="47"/>
      <c r="AA328" s="4"/>
      <c r="AB328" s="7"/>
    </row>
    <row r="329" spans="1:28" ht="42" customHeight="1">
      <c r="A329" s="6" t="s">
        <v>1829</v>
      </c>
      <c r="B329" s="4" t="s">
        <v>1830</v>
      </c>
      <c r="C329" s="4" t="s">
        <v>1830</v>
      </c>
      <c r="D329" s="4" t="s">
        <v>777</v>
      </c>
      <c r="E329" s="4" t="s">
        <v>778</v>
      </c>
      <c r="F329" s="4" t="s">
        <v>43</v>
      </c>
      <c r="G329" s="4" t="s">
        <v>677</v>
      </c>
      <c r="H329" s="4" t="s">
        <v>788</v>
      </c>
      <c r="I329" s="4" t="s">
        <v>780</v>
      </c>
      <c r="J329" s="7"/>
      <c r="K329" s="7" t="s">
        <v>1831</v>
      </c>
      <c r="L329" s="4" t="s">
        <v>782</v>
      </c>
      <c r="M329" s="4" t="s">
        <v>167</v>
      </c>
      <c r="N329" s="4" t="s">
        <v>250</v>
      </c>
      <c r="O329" s="4" t="s">
        <v>783</v>
      </c>
      <c r="P329" s="5">
        <v>46270.666666666664</v>
      </c>
      <c r="Q329" s="4" t="s">
        <v>1832</v>
      </c>
      <c r="R329" s="31" t="s">
        <v>31</v>
      </c>
      <c r="S329" s="33">
        <v>0</v>
      </c>
      <c r="T329" s="31" t="s">
        <v>94</v>
      </c>
      <c r="U329" s="33"/>
      <c r="V329" s="31" t="s">
        <v>110</v>
      </c>
      <c r="W329" s="7"/>
      <c r="X329" s="35">
        <v>46271.058773634257</v>
      </c>
      <c r="Y329" s="31" t="s">
        <v>785</v>
      </c>
      <c r="Z329" s="47"/>
      <c r="AA329" s="4"/>
      <c r="AB329" s="7"/>
    </row>
    <row r="330" spans="1:28" ht="42" customHeight="1">
      <c r="A330" s="6" t="s">
        <v>1833</v>
      </c>
      <c r="B330" s="4" t="s">
        <v>1834</v>
      </c>
      <c r="C330" s="4" t="s">
        <v>1834</v>
      </c>
      <c r="D330" s="4" t="s">
        <v>777</v>
      </c>
      <c r="E330" s="4" t="s">
        <v>778</v>
      </c>
      <c r="F330" s="4" t="s">
        <v>43</v>
      </c>
      <c r="G330" s="4" t="s">
        <v>1723</v>
      </c>
      <c r="H330" s="4" t="s">
        <v>788</v>
      </c>
      <c r="I330" s="4" t="s">
        <v>780</v>
      </c>
      <c r="J330" s="7"/>
      <c r="K330" s="7" t="s">
        <v>1835</v>
      </c>
      <c r="L330" s="4" t="s">
        <v>782</v>
      </c>
      <c r="M330" s="4" t="s">
        <v>167</v>
      </c>
      <c r="N330" s="4" t="s">
        <v>250</v>
      </c>
      <c r="O330" s="4" t="s">
        <v>783</v>
      </c>
      <c r="P330" s="5">
        <v>46270.666666666664</v>
      </c>
      <c r="Q330" s="4" t="s">
        <v>1836</v>
      </c>
      <c r="R330" s="31" t="s">
        <v>31</v>
      </c>
      <c r="S330" s="33">
        <v>0</v>
      </c>
      <c r="T330" s="31" t="s">
        <v>94</v>
      </c>
      <c r="U330" s="33"/>
      <c r="V330" s="31" t="s">
        <v>110</v>
      </c>
      <c r="W330" s="7"/>
      <c r="X330" s="35">
        <v>46271.058773634257</v>
      </c>
      <c r="Y330" s="31" t="s">
        <v>785</v>
      </c>
      <c r="Z330" s="47"/>
      <c r="AA330" s="4"/>
      <c r="AB330" s="7"/>
    </row>
    <row r="331" spans="1:28" ht="42" customHeight="1">
      <c r="A331" s="6" t="s">
        <v>1837</v>
      </c>
      <c r="B331" s="4" t="s">
        <v>1838</v>
      </c>
      <c r="C331" s="4" t="s">
        <v>1838</v>
      </c>
      <c r="D331" s="4" t="s">
        <v>777</v>
      </c>
      <c r="E331" s="4" t="s">
        <v>778</v>
      </c>
      <c r="F331" s="4" t="s">
        <v>44</v>
      </c>
      <c r="G331" s="4" t="s">
        <v>688</v>
      </c>
      <c r="H331" s="4" t="s">
        <v>788</v>
      </c>
      <c r="I331" s="4" t="s">
        <v>780</v>
      </c>
      <c r="J331" s="7"/>
      <c r="K331" s="7" t="s">
        <v>1839</v>
      </c>
      <c r="L331" s="4" t="s">
        <v>782</v>
      </c>
      <c r="M331" s="4" t="s">
        <v>167</v>
      </c>
      <c r="N331" s="4" t="s">
        <v>250</v>
      </c>
      <c r="O331" s="4" t="s">
        <v>783</v>
      </c>
      <c r="P331" s="5">
        <v>46270.666666666664</v>
      </c>
      <c r="Q331" s="4" t="s">
        <v>1840</v>
      </c>
      <c r="R331" s="31" t="s">
        <v>31</v>
      </c>
      <c r="S331" s="33">
        <v>0</v>
      </c>
      <c r="T331" s="31" t="s">
        <v>94</v>
      </c>
      <c r="U331" s="33"/>
      <c r="V331" s="31" t="s">
        <v>110</v>
      </c>
      <c r="W331" s="7"/>
      <c r="X331" s="35">
        <v>46271.058773634257</v>
      </c>
      <c r="Y331" s="31" t="s">
        <v>785</v>
      </c>
      <c r="Z331" s="47"/>
      <c r="AA331" s="4"/>
      <c r="AB331" s="7"/>
    </row>
    <row r="332" spans="1:28" ht="42" customHeight="1">
      <c r="A332" s="6" t="s">
        <v>1841</v>
      </c>
      <c r="B332" s="4" t="s">
        <v>1842</v>
      </c>
      <c r="C332" s="4" t="s">
        <v>1842</v>
      </c>
      <c r="D332" s="4" t="s">
        <v>777</v>
      </c>
      <c r="E332" s="4" t="s">
        <v>778</v>
      </c>
      <c r="F332" s="4" t="s">
        <v>44</v>
      </c>
      <c r="G332" s="4" t="s">
        <v>1843</v>
      </c>
      <c r="H332" s="4" t="s">
        <v>1308</v>
      </c>
      <c r="I332" s="4" t="s">
        <v>780</v>
      </c>
      <c r="J332" s="7"/>
      <c r="K332" s="7" t="s">
        <v>1844</v>
      </c>
      <c r="L332" s="4" t="s">
        <v>782</v>
      </c>
      <c r="M332" s="4" t="s">
        <v>167</v>
      </c>
      <c r="N332" s="4" t="s">
        <v>250</v>
      </c>
      <c r="O332" s="4" t="s">
        <v>783</v>
      </c>
      <c r="P332" s="5">
        <v>46270.666666666664</v>
      </c>
      <c r="Q332" s="4" t="s">
        <v>1845</v>
      </c>
      <c r="R332" s="31" t="s">
        <v>31</v>
      </c>
      <c r="S332" s="33">
        <v>0</v>
      </c>
      <c r="T332" s="31" t="s">
        <v>94</v>
      </c>
      <c r="U332" s="33"/>
      <c r="V332" s="31" t="s">
        <v>110</v>
      </c>
      <c r="W332" s="7"/>
      <c r="X332" s="35">
        <v>46271.058773634257</v>
      </c>
      <c r="Y332" s="31" t="s">
        <v>785</v>
      </c>
      <c r="Z332" s="47"/>
      <c r="AA332" s="4"/>
      <c r="AB332" s="7"/>
    </row>
    <row r="333" spans="1:28" ht="42" customHeight="1">
      <c r="A333" s="6" t="s">
        <v>1846</v>
      </c>
      <c r="B333" s="4" t="s">
        <v>1847</v>
      </c>
      <c r="C333" s="4" t="s">
        <v>1847</v>
      </c>
      <c r="D333" s="4" t="s">
        <v>777</v>
      </c>
      <c r="E333" s="4" t="s">
        <v>778</v>
      </c>
      <c r="F333" s="4" t="s">
        <v>44</v>
      </c>
      <c r="G333" s="4" t="s">
        <v>1848</v>
      </c>
      <c r="H333" s="4" t="s">
        <v>1849</v>
      </c>
      <c r="I333" s="4" t="s">
        <v>780</v>
      </c>
      <c r="J333" s="7"/>
      <c r="K333" s="7" t="s">
        <v>1850</v>
      </c>
      <c r="L333" s="4" t="s">
        <v>782</v>
      </c>
      <c r="M333" s="4" t="s">
        <v>167</v>
      </c>
      <c r="N333" s="4" t="s">
        <v>250</v>
      </c>
      <c r="O333" s="4" t="s">
        <v>783</v>
      </c>
      <c r="P333" s="5">
        <v>46270.666666666664</v>
      </c>
      <c r="Q333" s="4" t="s">
        <v>1851</v>
      </c>
      <c r="R333" s="31" t="s">
        <v>31</v>
      </c>
      <c r="S333" s="33">
        <v>0</v>
      </c>
      <c r="T333" s="31" t="s">
        <v>94</v>
      </c>
      <c r="U333" s="33"/>
      <c r="V333" s="31" t="s">
        <v>110</v>
      </c>
      <c r="W333" s="7"/>
      <c r="X333" s="35">
        <v>46271.058773634257</v>
      </c>
      <c r="Y333" s="31" t="s">
        <v>785</v>
      </c>
      <c r="Z333" s="47"/>
      <c r="AA333" s="4"/>
      <c r="AB333" s="7"/>
    </row>
    <row r="334" spans="1:28" ht="42" customHeight="1">
      <c r="A334" s="6" t="s">
        <v>1852</v>
      </c>
      <c r="B334" s="4" t="s">
        <v>1853</v>
      </c>
      <c r="C334" s="4" t="s">
        <v>1853</v>
      </c>
      <c r="D334" s="4" t="s">
        <v>777</v>
      </c>
      <c r="E334" s="4" t="s">
        <v>778</v>
      </c>
      <c r="F334" s="4" t="s">
        <v>44</v>
      </c>
      <c r="G334" s="4" t="s">
        <v>1854</v>
      </c>
      <c r="H334" s="4" t="s">
        <v>1024</v>
      </c>
      <c r="I334" s="4" t="s">
        <v>780</v>
      </c>
      <c r="J334" s="7"/>
      <c r="K334" s="7" t="s">
        <v>1855</v>
      </c>
      <c r="L334" s="4" t="s">
        <v>782</v>
      </c>
      <c r="M334" s="4" t="s">
        <v>167</v>
      </c>
      <c r="N334" s="4" t="s">
        <v>250</v>
      </c>
      <c r="O334" s="4" t="s">
        <v>783</v>
      </c>
      <c r="P334" s="5">
        <v>46270.666666666664</v>
      </c>
      <c r="Q334" s="4" t="s">
        <v>1856</v>
      </c>
      <c r="R334" s="31" t="s">
        <v>31</v>
      </c>
      <c r="S334" s="33">
        <v>0</v>
      </c>
      <c r="T334" s="31" t="s">
        <v>94</v>
      </c>
      <c r="U334" s="33"/>
      <c r="V334" s="31" t="s">
        <v>110</v>
      </c>
      <c r="W334" s="7"/>
      <c r="X334" s="35">
        <v>46271.058773634257</v>
      </c>
      <c r="Y334" s="31" t="s">
        <v>785</v>
      </c>
      <c r="Z334" s="47"/>
      <c r="AA334" s="4"/>
      <c r="AB334" s="7"/>
    </row>
    <row r="335" spans="1:28" ht="42" customHeight="1">
      <c r="A335" s="6" t="s">
        <v>1857</v>
      </c>
      <c r="B335" s="4" t="s">
        <v>1858</v>
      </c>
      <c r="C335" s="4" t="s">
        <v>1858</v>
      </c>
      <c r="D335" s="4" t="s">
        <v>777</v>
      </c>
      <c r="E335" s="4" t="s">
        <v>778</v>
      </c>
      <c r="F335" s="4" t="s">
        <v>44</v>
      </c>
      <c r="G335" s="4" t="s">
        <v>1848</v>
      </c>
      <c r="H335" s="4" t="s">
        <v>1859</v>
      </c>
      <c r="I335" s="4" t="s">
        <v>780</v>
      </c>
      <c r="J335" s="7"/>
      <c r="K335" s="7" t="s">
        <v>1860</v>
      </c>
      <c r="L335" s="4" t="s">
        <v>782</v>
      </c>
      <c r="M335" s="4" t="s">
        <v>167</v>
      </c>
      <c r="N335" s="4" t="s">
        <v>250</v>
      </c>
      <c r="O335" s="4" t="s">
        <v>783</v>
      </c>
      <c r="P335" s="5">
        <v>46270.666666666664</v>
      </c>
      <c r="Q335" s="4" t="s">
        <v>1861</v>
      </c>
      <c r="R335" s="31" t="s">
        <v>31</v>
      </c>
      <c r="S335" s="33">
        <v>0</v>
      </c>
      <c r="T335" s="31" t="s">
        <v>94</v>
      </c>
      <c r="U335" s="33"/>
      <c r="V335" s="31" t="s">
        <v>110</v>
      </c>
      <c r="W335" s="7"/>
      <c r="X335" s="35">
        <v>46271.058773634257</v>
      </c>
      <c r="Y335" s="31" t="s">
        <v>785</v>
      </c>
      <c r="Z335" s="47"/>
      <c r="AA335" s="4"/>
      <c r="AB335" s="7"/>
    </row>
    <row r="336" spans="1:28" ht="42" customHeight="1">
      <c r="A336" s="6" t="s">
        <v>1862</v>
      </c>
      <c r="B336" s="4" t="s">
        <v>1863</v>
      </c>
      <c r="C336" s="4" t="s">
        <v>1863</v>
      </c>
      <c r="D336" s="4" t="s">
        <v>777</v>
      </c>
      <c r="E336" s="4" t="s">
        <v>778</v>
      </c>
      <c r="F336" s="4" t="s">
        <v>44</v>
      </c>
      <c r="G336" s="4" t="s">
        <v>1864</v>
      </c>
      <c r="H336" s="4" t="s">
        <v>788</v>
      </c>
      <c r="I336" s="4" t="s">
        <v>780</v>
      </c>
      <c r="J336" s="7"/>
      <c r="K336" s="7" t="s">
        <v>1865</v>
      </c>
      <c r="L336" s="4" t="s">
        <v>782</v>
      </c>
      <c r="M336" s="4" t="s">
        <v>167</v>
      </c>
      <c r="N336" s="4" t="s">
        <v>250</v>
      </c>
      <c r="O336" s="4" t="s">
        <v>783</v>
      </c>
      <c r="P336" s="5">
        <v>46270.666666666664</v>
      </c>
      <c r="Q336" s="4" t="s">
        <v>1866</v>
      </c>
      <c r="R336" s="31" t="s">
        <v>31</v>
      </c>
      <c r="S336" s="33">
        <v>0</v>
      </c>
      <c r="T336" s="31" t="s">
        <v>94</v>
      </c>
      <c r="U336" s="33"/>
      <c r="V336" s="31" t="s">
        <v>110</v>
      </c>
      <c r="W336" s="7"/>
      <c r="X336" s="35">
        <v>46271.058773634257</v>
      </c>
      <c r="Y336" s="31" t="s">
        <v>785</v>
      </c>
      <c r="Z336" s="47"/>
      <c r="AA336" s="4"/>
      <c r="AB336" s="7"/>
    </row>
    <row r="337" spans="1:28" ht="42" customHeight="1">
      <c r="A337" s="6" t="s">
        <v>1867</v>
      </c>
      <c r="B337" s="4" t="s">
        <v>1863</v>
      </c>
      <c r="C337" s="4" t="s">
        <v>1863</v>
      </c>
      <c r="D337" s="4" t="s">
        <v>777</v>
      </c>
      <c r="E337" s="4" t="s">
        <v>778</v>
      </c>
      <c r="F337" s="4" t="s">
        <v>44</v>
      </c>
      <c r="G337" s="4"/>
      <c r="H337" s="4" t="s">
        <v>788</v>
      </c>
      <c r="I337" s="4" t="s">
        <v>780</v>
      </c>
      <c r="J337" s="7"/>
      <c r="K337" s="7" t="s">
        <v>1868</v>
      </c>
      <c r="L337" s="4" t="s">
        <v>782</v>
      </c>
      <c r="M337" s="4" t="s">
        <v>167</v>
      </c>
      <c r="N337" s="4" t="s">
        <v>250</v>
      </c>
      <c r="O337" s="4" t="s">
        <v>783</v>
      </c>
      <c r="P337" s="5">
        <v>46270.666666666664</v>
      </c>
      <c r="Q337" s="4" t="s">
        <v>1869</v>
      </c>
      <c r="R337" s="31" t="s">
        <v>31</v>
      </c>
      <c r="S337" s="33">
        <v>0</v>
      </c>
      <c r="T337" s="31" t="s">
        <v>94</v>
      </c>
      <c r="U337" s="33"/>
      <c r="V337" s="31" t="s">
        <v>110</v>
      </c>
      <c r="W337" s="7"/>
      <c r="X337" s="35">
        <v>46271.058773634257</v>
      </c>
      <c r="Y337" s="31" t="s">
        <v>785</v>
      </c>
      <c r="Z337" s="47"/>
      <c r="AA337" s="4"/>
      <c r="AB337" s="7"/>
    </row>
    <row r="338" spans="1:28" ht="42" customHeight="1">
      <c r="A338" s="6" t="s">
        <v>1870</v>
      </c>
      <c r="B338" s="4" t="s">
        <v>1863</v>
      </c>
      <c r="C338" s="4" t="s">
        <v>1863</v>
      </c>
      <c r="D338" s="4" t="s">
        <v>777</v>
      </c>
      <c r="E338" s="4" t="s">
        <v>778</v>
      </c>
      <c r="F338" s="4" t="s">
        <v>44</v>
      </c>
      <c r="G338" s="4" t="s">
        <v>1864</v>
      </c>
      <c r="H338" s="4" t="s">
        <v>788</v>
      </c>
      <c r="I338" s="4" t="s">
        <v>780</v>
      </c>
      <c r="J338" s="7"/>
      <c r="K338" s="7" t="s">
        <v>1871</v>
      </c>
      <c r="L338" s="4" t="s">
        <v>782</v>
      </c>
      <c r="M338" s="4" t="s">
        <v>167</v>
      </c>
      <c r="N338" s="4" t="s">
        <v>250</v>
      </c>
      <c r="O338" s="4" t="s">
        <v>783</v>
      </c>
      <c r="P338" s="5">
        <v>46270.666666666664</v>
      </c>
      <c r="Q338" s="4" t="s">
        <v>1872</v>
      </c>
      <c r="R338" s="31" t="s">
        <v>31</v>
      </c>
      <c r="S338" s="33">
        <v>0</v>
      </c>
      <c r="T338" s="31" t="s">
        <v>94</v>
      </c>
      <c r="U338" s="33"/>
      <c r="V338" s="31" t="s">
        <v>110</v>
      </c>
      <c r="W338" s="7"/>
      <c r="X338" s="35">
        <v>46271.058773634257</v>
      </c>
      <c r="Y338" s="31" t="s">
        <v>785</v>
      </c>
      <c r="Z338" s="47"/>
      <c r="AA338" s="4"/>
      <c r="AB338" s="7"/>
    </row>
    <row r="339" spans="1:28" ht="42" customHeight="1">
      <c r="A339" s="6" t="s">
        <v>1873</v>
      </c>
      <c r="B339" s="4" t="s">
        <v>695</v>
      </c>
      <c r="C339" s="4" t="s">
        <v>695</v>
      </c>
      <c r="D339" s="4" t="s">
        <v>777</v>
      </c>
      <c r="E339" s="4" t="s">
        <v>778</v>
      </c>
      <c r="F339" s="4" t="s">
        <v>44</v>
      </c>
      <c r="G339" s="4" t="s">
        <v>688</v>
      </c>
      <c r="H339" s="4" t="s">
        <v>974</v>
      </c>
      <c r="I339" s="4" t="s">
        <v>780</v>
      </c>
      <c r="J339" s="7"/>
      <c r="K339" s="7" t="s">
        <v>1874</v>
      </c>
      <c r="L339" s="4" t="s">
        <v>782</v>
      </c>
      <c r="M339" s="4" t="s">
        <v>167</v>
      </c>
      <c r="N339" s="4" t="s">
        <v>250</v>
      </c>
      <c r="O339" s="4" t="s">
        <v>783</v>
      </c>
      <c r="P339" s="5">
        <v>46270.666666666664</v>
      </c>
      <c r="Q339" s="4" t="s">
        <v>1875</v>
      </c>
      <c r="R339" s="31" t="s">
        <v>31</v>
      </c>
      <c r="S339" s="33">
        <v>0</v>
      </c>
      <c r="T339" s="31" t="s">
        <v>94</v>
      </c>
      <c r="U339" s="33"/>
      <c r="V339" s="31" t="s">
        <v>110</v>
      </c>
      <c r="W339" s="7"/>
      <c r="X339" s="35">
        <v>46271.058773634257</v>
      </c>
      <c r="Y339" s="31" t="s">
        <v>785</v>
      </c>
      <c r="Z339" s="47"/>
      <c r="AA339" s="4"/>
      <c r="AB339" s="7"/>
    </row>
    <row r="340" spans="1:28" ht="42" customHeight="1">
      <c r="A340" s="6" t="s">
        <v>1876</v>
      </c>
      <c r="B340" s="4" t="s">
        <v>1877</v>
      </c>
      <c r="C340" s="4" t="s">
        <v>1877</v>
      </c>
      <c r="D340" s="4" t="s">
        <v>777</v>
      </c>
      <c r="E340" s="4" t="s">
        <v>778</v>
      </c>
      <c r="F340" s="4" t="s">
        <v>44</v>
      </c>
      <c r="G340" s="4" t="s">
        <v>1878</v>
      </c>
      <c r="H340" s="4" t="s">
        <v>788</v>
      </c>
      <c r="I340" s="4" t="s">
        <v>780</v>
      </c>
      <c r="J340" s="7"/>
      <c r="K340" s="7" t="s">
        <v>1879</v>
      </c>
      <c r="L340" s="4" t="s">
        <v>782</v>
      </c>
      <c r="M340" s="4" t="s">
        <v>167</v>
      </c>
      <c r="N340" s="4" t="s">
        <v>250</v>
      </c>
      <c r="O340" s="4" t="s">
        <v>783</v>
      </c>
      <c r="P340" s="5">
        <v>46270.666666666664</v>
      </c>
      <c r="Q340" s="4" t="s">
        <v>1880</v>
      </c>
      <c r="R340" s="31" t="s">
        <v>31</v>
      </c>
      <c r="S340" s="33">
        <v>0</v>
      </c>
      <c r="T340" s="31" t="s">
        <v>94</v>
      </c>
      <c r="U340" s="33"/>
      <c r="V340" s="31" t="s">
        <v>110</v>
      </c>
      <c r="W340" s="7"/>
      <c r="X340" s="35">
        <v>46271.058773634257</v>
      </c>
      <c r="Y340" s="31" t="s">
        <v>785</v>
      </c>
      <c r="Z340" s="47"/>
      <c r="AA340" s="4"/>
      <c r="AB340" s="7"/>
    </row>
    <row r="341" spans="1:28" ht="42" customHeight="1">
      <c r="A341" s="6" t="s">
        <v>1881</v>
      </c>
      <c r="B341" s="4" t="s">
        <v>1882</v>
      </c>
      <c r="C341" s="4" t="s">
        <v>1882</v>
      </c>
      <c r="D341" s="4" t="s">
        <v>777</v>
      </c>
      <c r="E341" s="4" t="s">
        <v>778</v>
      </c>
      <c r="F341" s="4" t="s">
        <v>44</v>
      </c>
      <c r="G341" s="4" t="s">
        <v>1883</v>
      </c>
      <c r="H341" s="4" t="s">
        <v>788</v>
      </c>
      <c r="I341" s="4" t="s">
        <v>780</v>
      </c>
      <c r="J341" s="7"/>
      <c r="K341" s="7" t="s">
        <v>1884</v>
      </c>
      <c r="L341" s="4" t="s">
        <v>782</v>
      </c>
      <c r="M341" s="4" t="s">
        <v>167</v>
      </c>
      <c r="N341" s="4" t="s">
        <v>250</v>
      </c>
      <c r="O341" s="4" t="s">
        <v>783</v>
      </c>
      <c r="P341" s="5">
        <v>46270.666666666664</v>
      </c>
      <c r="Q341" s="4" t="s">
        <v>1885</v>
      </c>
      <c r="R341" s="31" t="s">
        <v>31</v>
      </c>
      <c r="S341" s="33">
        <v>0</v>
      </c>
      <c r="T341" s="31" t="s">
        <v>94</v>
      </c>
      <c r="U341" s="33"/>
      <c r="V341" s="31" t="s">
        <v>110</v>
      </c>
      <c r="W341" s="7"/>
      <c r="X341" s="35">
        <v>46271.058773634257</v>
      </c>
      <c r="Y341" s="31" t="s">
        <v>785</v>
      </c>
      <c r="Z341" s="47"/>
      <c r="AA341" s="4"/>
      <c r="AB341" s="7"/>
    </row>
    <row r="342" spans="1:28" ht="42" customHeight="1">
      <c r="A342" s="6" t="s">
        <v>1886</v>
      </c>
      <c r="B342" s="4" t="s">
        <v>1887</v>
      </c>
      <c r="C342" s="4" t="s">
        <v>1887</v>
      </c>
      <c r="D342" s="4" t="s">
        <v>777</v>
      </c>
      <c r="E342" s="4" t="s">
        <v>778</v>
      </c>
      <c r="F342" s="4" t="s">
        <v>44</v>
      </c>
      <c r="G342" s="4" t="s">
        <v>1883</v>
      </c>
      <c r="H342" s="4" t="s">
        <v>788</v>
      </c>
      <c r="I342" s="4" t="s">
        <v>780</v>
      </c>
      <c r="J342" s="7"/>
      <c r="K342" s="7" t="s">
        <v>1888</v>
      </c>
      <c r="L342" s="4" t="s">
        <v>782</v>
      </c>
      <c r="M342" s="4" t="s">
        <v>167</v>
      </c>
      <c r="N342" s="4" t="s">
        <v>250</v>
      </c>
      <c r="O342" s="4" t="s">
        <v>783</v>
      </c>
      <c r="P342" s="5">
        <v>46270.666666666664</v>
      </c>
      <c r="Q342" s="4" t="s">
        <v>1889</v>
      </c>
      <c r="R342" s="31" t="s">
        <v>31</v>
      </c>
      <c r="S342" s="33">
        <v>0</v>
      </c>
      <c r="T342" s="31" t="s">
        <v>94</v>
      </c>
      <c r="U342" s="33"/>
      <c r="V342" s="31" t="s">
        <v>110</v>
      </c>
      <c r="W342" s="7"/>
      <c r="X342" s="35">
        <v>46271.058773634257</v>
      </c>
      <c r="Y342" s="31" t="s">
        <v>785</v>
      </c>
      <c r="Z342" s="47"/>
      <c r="AA342" s="4"/>
      <c r="AB342" s="7"/>
    </row>
    <row r="343" spans="1:28" ht="42" customHeight="1">
      <c r="A343" s="6" t="s">
        <v>1890</v>
      </c>
      <c r="B343" s="4" t="s">
        <v>1891</v>
      </c>
      <c r="C343" s="4" t="s">
        <v>1891</v>
      </c>
      <c r="D343" s="4" t="s">
        <v>777</v>
      </c>
      <c r="E343" s="4" t="s">
        <v>778</v>
      </c>
      <c r="F343" s="4" t="s">
        <v>44</v>
      </c>
      <c r="G343" s="4" t="s">
        <v>1892</v>
      </c>
      <c r="H343" s="4" t="s">
        <v>1606</v>
      </c>
      <c r="I343" s="4" t="s">
        <v>780</v>
      </c>
      <c r="J343" s="7"/>
      <c r="K343" s="7" t="s">
        <v>1893</v>
      </c>
      <c r="L343" s="4" t="s">
        <v>782</v>
      </c>
      <c r="M343" s="4" t="s">
        <v>167</v>
      </c>
      <c r="N343" s="4" t="s">
        <v>250</v>
      </c>
      <c r="O343" s="4" t="s">
        <v>783</v>
      </c>
      <c r="P343" s="5">
        <v>46270.666666666664</v>
      </c>
      <c r="Q343" s="4" t="s">
        <v>1894</v>
      </c>
      <c r="R343" s="31" t="s">
        <v>31</v>
      </c>
      <c r="S343" s="33">
        <v>0</v>
      </c>
      <c r="T343" s="31" t="s">
        <v>94</v>
      </c>
      <c r="U343" s="33"/>
      <c r="V343" s="31" t="s">
        <v>110</v>
      </c>
      <c r="W343" s="7"/>
      <c r="X343" s="35">
        <v>46271.058773634257</v>
      </c>
      <c r="Y343" s="31" t="s">
        <v>785</v>
      </c>
      <c r="Z343" s="47"/>
      <c r="AA343" s="4"/>
      <c r="AB343" s="7"/>
    </row>
    <row r="344" spans="1:28" ht="42" customHeight="1">
      <c r="A344" s="6" t="s">
        <v>1895</v>
      </c>
      <c r="B344" s="4" t="s">
        <v>1896</v>
      </c>
      <c r="C344" s="4" t="s">
        <v>1896</v>
      </c>
      <c r="D344" s="4" t="s">
        <v>777</v>
      </c>
      <c r="E344" s="4" t="s">
        <v>778</v>
      </c>
      <c r="F344" s="4" t="s">
        <v>44</v>
      </c>
      <c r="G344" s="4" t="s">
        <v>688</v>
      </c>
      <c r="H344" s="4" t="s">
        <v>974</v>
      </c>
      <c r="I344" s="4" t="s">
        <v>780</v>
      </c>
      <c r="J344" s="7"/>
      <c r="K344" s="7" t="s">
        <v>1897</v>
      </c>
      <c r="L344" s="4" t="s">
        <v>782</v>
      </c>
      <c r="M344" s="4" t="s">
        <v>167</v>
      </c>
      <c r="N344" s="4" t="s">
        <v>250</v>
      </c>
      <c r="O344" s="4" t="s">
        <v>783</v>
      </c>
      <c r="P344" s="5">
        <v>46270.666666666664</v>
      </c>
      <c r="Q344" s="4" t="s">
        <v>1898</v>
      </c>
      <c r="R344" s="31" t="s">
        <v>31</v>
      </c>
      <c r="S344" s="33">
        <v>0</v>
      </c>
      <c r="T344" s="31" t="s">
        <v>94</v>
      </c>
      <c r="U344" s="33"/>
      <c r="V344" s="31" t="s">
        <v>110</v>
      </c>
      <c r="W344" s="7"/>
      <c r="X344" s="35">
        <v>46271.058773634257</v>
      </c>
      <c r="Y344" s="31" t="s">
        <v>785</v>
      </c>
      <c r="Z344" s="47"/>
      <c r="AA344" s="4"/>
      <c r="AB344" s="7"/>
    </row>
    <row r="345" spans="1:28" ht="42" customHeight="1">
      <c r="A345" s="6" t="s">
        <v>1899</v>
      </c>
      <c r="B345" s="4" t="s">
        <v>1900</v>
      </c>
      <c r="C345" s="4" t="s">
        <v>1900</v>
      </c>
      <c r="D345" s="4" t="s">
        <v>777</v>
      </c>
      <c r="E345" s="4" t="s">
        <v>778</v>
      </c>
      <c r="F345" s="4" t="s">
        <v>44</v>
      </c>
      <c r="G345" s="4" t="s">
        <v>688</v>
      </c>
      <c r="H345" s="4" t="s">
        <v>476</v>
      </c>
      <c r="I345" s="4" t="s">
        <v>780</v>
      </c>
      <c r="J345" s="7"/>
      <c r="K345" s="7" t="s">
        <v>1901</v>
      </c>
      <c r="L345" s="4" t="s">
        <v>782</v>
      </c>
      <c r="M345" s="4" t="s">
        <v>167</v>
      </c>
      <c r="N345" s="4" t="s">
        <v>250</v>
      </c>
      <c r="O345" s="4" t="s">
        <v>783</v>
      </c>
      <c r="P345" s="5">
        <v>46270.666666666664</v>
      </c>
      <c r="Q345" s="4" t="s">
        <v>1902</v>
      </c>
      <c r="R345" s="31" t="s">
        <v>31</v>
      </c>
      <c r="S345" s="33">
        <v>0</v>
      </c>
      <c r="T345" s="31" t="s">
        <v>94</v>
      </c>
      <c r="U345" s="33"/>
      <c r="V345" s="31" t="s">
        <v>110</v>
      </c>
      <c r="W345" s="7"/>
      <c r="X345" s="35">
        <v>46271.058773634257</v>
      </c>
      <c r="Y345" s="31" t="s">
        <v>785</v>
      </c>
      <c r="Z345" s="47"/>
      <c r="AA345" s="4"/>
      <c r="AB345" s="7"/>
    </row>
    <row r="346" spans="1:28" ht="42" customHeight="1">
      <c r="A346" s="6" t="s">
        <v>1903</v>
      </c>
      <c r="B346" s="4" t="s">
        <v>1904</v>
      </c>
      <c r="C346" s="4" t="s">
        <v>1904</v>
      </c>
      <c r="D346" s="4" t="s">
        <v>777</v>
      </c>
      <c r="E346" s="4" t="s">
        <v>778</v>
      </c>
      <c r="F346" s="4" t="s">
        <v>44</v>
      </c>
      <c r="G346" s="4" t="s">
        <v>1905</v>
      </c>
      <c r="H346" s="4" t="s">
        <v>1906</v>
      </c>
      <c r="I346" s="4" t="s">
        <v>780</v>
      </c>
      <c r="J346" s="7"/>
      <c r="K346" s="7" t="s">
        <v>1907</v>
      </c>
      <c r="L346" s="4" t="s">
        <v>782</v>
      </c>
      <c r="M346" s="4" t="s">
        <v>167</v>
      </c>
      <c r="N346" s="4" t="s">
        <v>250</v>
      </c>
      <c r="O346" s="4" t="s">
        <v>783</v>
      </c>
      <c r="P346" s="5">
        <v>46270.666666666664</v>
      </c>
      <c r="Q346" s="4" t="s">
        <v>1908</v>
      </c>
      <c r="R346" s="31" t="s">
        <v>31</v>
      </c>
      <c r="S346" s="33">
        <v>0</v>
      </c>
      <c r="T346" s="31" t="s">
        <v>94</v>
      </c>
      <c r="U346" s="33"/>
      <c r="V346" s="31" t="s">
        <v>110</v>
      </c>
      <c r="W346" s="7"/>
      <c r="X346" s="35">
        <v>46271.058773634257</v>
      </c>
      <c r="Y346" s="31" t="s">
        <v>785</v>
      </c>
      <c r="Z346" s="47"/>
      <c r="AA346" s="4"/>
      <c r="AB346" s="7"/>
    </row>
    <row r="347" spans="1:28" ht="42" customHeight="1">
      <c r="A347" s="6" t="s">
        <v>1909</v>
      </c>
      <c r="B347" s="4" t="s">
        <v>1910</v>
      </c>
      <c r="C347" s="4" t="s">
        <v>1910</v>
      </c>
      <c r="D347" s="4" t="s">
        <v>777</v>
      </c>
      <c r="E347" s="4" t="s">
        <v>778</v>
      </c>
      <c r="F347" s="4" t="s">
        <v>44</v>
      </c>
      <c r="G347" s="4" t="s">
        <v>1911</v>
      </c>
      <c r="H347" s="4" t="s">
        <v>788</v>
      </c>
      <c r="I347" s="4" t="s">
        <v>780</v>
      </c>
      <c r="J347" s="7"/>
      <c r="K347" s="7" t="s">
        <v>1912</v>
      </c>
      <c r="L347" s="4" t="s">
        <v>782</v>
      </c>
      <c r="M347" s="4" t="s">
        <v>167</v>
      </c>
      <c r="N347" s="4" t="s">
        <v>250</v>
      </c>
      <c r="O347" s="4" t="s">
        <v>783</v>
      </c>
      <c r="P347" s="5">
        <v>46270.666666666664</v>
      </c>
      <c r="Q347" s="4" t="s">
        <v>1913</v>
      </c>
      <c r="R347" s="31" t="s">
        <v>31</v>
      </c>
      <c r="S347" s="33">
        <v>0</v>
      </c>
      <c r="T347" s="31" t="s">
        <v>94</v>
      </c>
      <c r="U347" s="33"/>
      <c r="V347" s="31" t="s">
        <v>110</v>
      </c>
      <c r="W347" s="7"/>
      <c r="X347" s="35">
        <v>46271.058773634257</v>
      </c>
      <c r="Y347" s="31" t="s">
        <v>785</v>
      </c>
      <c r="Z347" s="47"/>
      <c r="AA347" s="4"/>
      <c r="AB347" s="7"/>
    </row>
    <row r="348" spans="1:28" ht="42" customHeight="1">
      <c r="A348" s="6" t="s">
        <v>1914</v>
      </c>
      <c r="B348" s="4" t="s">
        <v>1915</v>
      </c>
      <c r="C348" s="4" t="s">
        <v>1915</v>
      </c>
      <c r="D348" s="4" t="s">
        <v>777</v>
      </c>
      <c r="E348" s="4" t="s">
        <v>778</v>
      </c>
      <c r="F348" s="4" t="s">
        <v>44</v>
      </c>
      <c r="G348" s="4" t="s">
        <v>1916</v>
      </c>
      <c r="H348" s="4" t="s">
        <v>788</v>
      </c>
      <c r="I348" s="4" t="s">
        <v>780</v>
      </c>
      <c r="J348" s="7"/>
      <c r="K348" s="7" t="s">
        <v>1917</v>
      </c>
      <c r="L348" s="4" t="s">
        <v>782</v>
      </c>
      <c r="M348" s="4" t="s">
        <v>167</v>
      </c>
      <c r="N348" s="4" t="s">
        <v>250</v>
      </c>
      <c r="O348" s="4" t="s">
        <v>783</v>
      </c>
      <c r="P348" s="5">
        <v>46270.666666666664</v>
      </c>
      <c r="Q348" s="4" t="s">
        <v>1918</v>
      </c>
      <c r="R348" s="31" t="s">
        <v>31</v>
      </c>
      <c r="S348" s="33">
        <v>0</v>
      </c>
      <c r="T348" s="31" t="s">
        <v>94</v>
      </c>
      <c r="U348" s="33"/>
      <c r="V348" s="31" t="s">
        <v>110</v>
      </c>
      <c r="W348" s="7"/>
      <c r="X348" s="35">
        <v>46271.058773634257</v>
      </c>
      <c r="Y348" s="31" t="s">
        <v>785</v>
      </c>
      <c r="Z348" s="47"/>
      <c r="AA348" s="4"/>
      <c r="AB348" s="7"/>
    </row>
    <row r="349" spans="1:28" ht="42" customHeight="1">
      <c r="A349" s="6" t="s">
        <v>1919</v>
      </c>
      <c r="B349" s="4" t="s">
        <v>1920</v>
      </c>
      <c r="C349" s="4" t="s">
        <v>1920</v>
      </c>
      <c r="D349" s="4" t="s">
        <v>777</v>
      </c>
      <c r="E349" s="4" t="s">
        <v>778</v>
      </c>
      <c r="F349" s="4" t="s">
        <v>44</v>
      </c>
      <c r="G349" s="4" t="s">
        <v>1921</v>
      </c>
      <c r="H349" s="4" t="s">
        <v>1308</v>
      </c>
      <c r="I349" s="4" t="s">
        <v>780</v>
      </c>
      <c r="J349" s="7"/>
      <c r="K349" s="7" t="s">
        <v>1922</v>
      </c>
      <c r="L349" s="4" t="s">
        <v>782</v>
      </c>
      <c r="M349" s="4" t="s">
        <v>167</v>
      </c>
      <c r="N349" s="4" t="s">
        <v>250</v>
      </c>
      <c r="O349" s="4" t="s">
        <v>783</v>
      </c>
      <c r="P349" s="5">
        <v>46270.666666666664</v>
      </c>
      <c r="Q349" s="4" t="s">
        <v>1923</v>
      </c>
      <c r="R349" s="31" t="s">
        <v>31</v>
      </c>
      <c r="S349" s="33">
        <v>0</v>
      </c>
      <c r="T349" s="31" t="s">
        <v>94</v>
      </c>
      <c r="U349" s="33"/>
      <c r="V349" s="31" t="s">
        <v>110</v>
      </c>
      <c r="W349" s="7"/>
      <c r="X349" s="35">
        <v>46271.058773634257</v>
      </c>
      <c r="Y349" s="31" t="s">
        <v>785</v>
      </c>
      <c r="Z349" s="47"/>
      <c r="AA349" s="4"/>
      <c r="AB349" s="7"/>
    </row>
    <row r="350" spans="1:28" ht="42" customHeight="1">
      <c r="A350" s="6" t="s">
        <v>1924</v>
      </c>
      <c r="B350" s="4" t="s">
        <v>1925</v>
      </c>
      <c r="C350" s="4" t="s">
        <v>1925</v>
      </c>
      <c r="D350" s="4" t="s">
        <v>777</v>
      </c>
      <c r="E350" s="4" t="s">
        <v>778</v>
      </c>
      <c r="F350" s="4" t="s">
        <v>44</v>
      </c>
      <c r="G350" s="4" t="s">
        <v>1926</v>
      </c>
      <c r="H350" s="4" t="s">
        <v>1927</v>
      </c>
      <c r="I350" s="4" t="s">
        <v>780</v>
      </c>
      <c r="J350" s="7"/>
      <c r="K350" s="7" t="s">
        <v>1928</v>
      </c>
      <c r="L350" s="4" t="s">
        <v>782</v>
      </c>
      <c r="M350" s="4" t="s">
        <v>167</v>
      </c>
      <c r="N350" s="4" t="s">
        <v>250</v>
      </c>
      <c r="O350" s="4" t="s">
        <v>783</v>
      </c>
      <c r="P350" s="5">
        <v>46270.666666666664</v>
      </c>
      <c r="Q350" s="4" t="s">
        <v>1929</v>
      </c>
      <c r="R350" s="31" t="s">
        <v>31</v>
      </c>
      <c r="S350" s="33">
        <v>0</v>
      </c>
      <c r="T350" s="31" t="s">
        <v>94</v>
      </c>
      <c r="U350" s="33"/>
      <c r="V350" s="31" t="s">
        <v>110</v>
      </c>
      <c r="W350" s="7"/>
      <c r="X350" s="35">
        <v>46271.058773634257</v>
      </c>
      <c r="Y350" s="31" t="s">
        <v>785</v>
      </c>
      <c r="Z350" s="47"/>
      <c r="AA350" s="4"/>
      <c r="AB350" s="7"/>
    </row>
    <row r="351" spans="1:28" ht="42" customHeight="1">
      <c r="A351" s="6" t="s">
        <v>1930</v>
      </c>
      <c r="B351" s="4" t="s">
        <v>1931</v>
      </c>
      <c r="C351" s="4" t="s">
        <v>1931</v>
      </c>
      <c r="D351" s="4" t="s">
        <v>777</v>
      </c>
      <c r="E351" s="4" t="s">
        <v>778</v>
      </c>
      <c r="F351" s="4" t="s">
        <v>44</v>
      </c>
      <c r="G351" s="4" t="s">
        <v>1932</v>
      </c>
      <c r="H351" s="4" t="s">
        <v>1933</v>
      </c>
      <c r="I351" s="4" t="s">
        <v>780</v>
      </c>
      <c r="J351" s="7"/>
      <c r="K351" s="7" t="s">
        <v>1934</v>
      </c>
      <c r="L351" s="4" t="s">
        <v>782</v>
      </c>
      <c r="M351" s="4" t="s">
        <v>167</v>
      </c>
      <c r="N351" s="4" t="s">
        <v>250</v>
      </c>
      <c r="O351" s="4" t="s">
        <v>783</v>
      </c>
      <c r="P351" s="5">
        <v>46270.666666666664</v>
      </c>
      <c r="Q351" s="4" t="s">
        <v>1935</v>
      </c>
      <c r="R351" s="31" t="s">
        <v>31</v>
      </c>
      <c r="S351" s="33">
        <v>0</v>
      </c>
      <c r="T351" s="31" t="s">
        <v>94</v>
      </c>
      <c r="U351" s="33"/>
      <c r="V351" s="31" t="s">
        <v>110</v>
      </c>
      <c r="W351" s="7"/>
      <c r="X351" s="35">
        <v>46271.058773634257</v>
      </c>
      <c r="Y351" s="31" t="s">
        <v>785</v>
      </c>
      <c r="Z351" s="47"/>
      <c r="AA351" s="4"/>
      <c r="AB351" s="7"/>
    </row>
    <row r="352" spans="1:28" ht="42" customHeight="1">
      <c r="A352" s="6" t="s">
        <v>1936</v>
      </c>
      <c r="B352" s="4" t="s">
        <v>1937</v>
      </c>
      <c r="C352" s="4" t="s">
        <v>1937</v>
      </c>
      <c r="D352" s="4" t="s">
        <v>777</v>
      </c>
      <c r="E352" s="4" t="s">
        <v>778</v>
      </c>
      <c r="F352" s="4" t="s">
        <v>44</v>
      </c>
      <c r="G352" s="4" t="s">
        <v>1938</v>
      </c>
      <c r="H352" s="4" t="s">
        <v>1308</v>
      </c>
      <c r="I352" s="4" t="s">
        <v>780</v>
      </c>
      <c r="J352" s="7"/>
      <c r="K352" s="7" t="s">
        <v>1939</v>
      </c>
      <c r="L352" s="4" t="s">
        <v>782</v>
      </c>
      <c r="M352" s="4" t="s">
        <v>167</v>
      </c>
      <c r="N352" s="4" t="s">
        <v>250</v>
      </c>
      <c r="O352" s="4" t="s">
        <v>783</v>
      </c>
      <c r="P352" s="5">
        <v>46270.666666666664</v>
      </c>
      <c r="Q352" s="4" t="s">
        <v>1940</v>
      </c>
      <c r="R352" s="31" t="s">
        <v>31</v>
      </c>
      <c r="S352" s="33">
        <v>0</v>
      </c>
      <c r="T352" s="31" t="s">
        <v>94</v>
      </c>
      <c r="U352" s="33"/>
      <c r="V352" s="31" t="s">
        <v>110</v>
      </c>
      <c r="W352" s="7"/>
      <c r="X352" s="35">
        <v>46271.058773634257</v>
      </c>
      <c r="Y352" s="31" t="s">
        <v>785</v>
      </c>
      <c r="Z352" s="47"/>
      <c r="AA352" s="4"/>
      <c r="AB352" s="7"/>
    </row>
    <row r="353" spans="1:28" ht="42" customHeight="1">
      <c r="A353" s="6" t="s">
        <v>1941</v>
      </c>
      <c r="B353" s="4" t="s">
        <v>1942</v>
      </c>
      <c r="C353" s="4" t="s">
        <v>1942</v>
      </c>
      <c r="D353" s="4" t="s">
        <v>777</v>
      </c>
      <c r="E353" s="4" t="s">
        <v>778</v>
      </c>
      <c r="F353" s="4" t="s">
        <v>44</v>
      </c>
      <c r="G353" s="4" t="s">
        <v>1878</v>
      </c>
      <c r="H353" s="4" t="s">
        <v>992</v>
      </c>
      <c r="I353" s="4" t="s">
        <v>780</v>
      </c>
      <c r="J353" s="7"/>
      <c r="K353" s="7" t="s">
        <v>1943</v>
      </c>
      <c r="L353" s="4" t="s">
        <v>782</v>
      </c>
      <c r="M353" s="4" t="s">
        <v>167</v>
      </c>
      <c r="N353" s="4" t="s">
        <v>250</v>
      </c>
      <c r="O353" s="4" t="s">
        <v>783</v>
      </c>
      <c r="P353" s="5">
        <v>46270.666666666664</v>
      </c>
      <c r="Q353" s="4" t="s">
        <v>1944</v>
      </c>
      <c r="R353" s="31" t="s">
        <v>31</v>
      </c>
      <c r="S353" s="33">
        <v>0</v>
      </c>
      <c r="T353" s="31" t="s">
        <v>94</v>
      </c>
      <c r="U353" s="33"/>
      <c r="V353" s="31" t="s">
        <v>110</v>
      </c>
      <c r="W353" s="7"/>
      <c r="X353" s="35">
        <v>46271.058773634257</v>
      </c>
      <c r="Y353" s="31" t="s">
        <v>785</v>
      </c>
      <c r="Z353" s="47"/>
      <c r="AA353" s="4"/>
      <c r="AB353" s="7"/>
    </row>
    <row r="354" spans="1:28" ht="42" customHeight="1">
      <c r="A354" s="6" t="s">
        <v>1945</v>
      </c>
      <c r="B354" s="4" t="s">
        <v>1946</v>
      </c>
      <c r="C354" s="4" t="s">
        <v>1946</v>
      </c>
      <c r="D354" s="4" t="s">
        <v>777</v>
      </c>
      <c r="E354" s="4" t="s">
        <v>778</v>
      </c>
      <c r="F354" s="4" t="s">
        <v>44</v>
      </c>
      <c r="G354" s="4" t="s">
        <v>1947</v>
      </c>
      <c r="H354" s="4" t="s">
        <v>788</v>
      </c>
      <c r="I354" s="4" t="s">
        <v>780</v>
      </c>
      <c r="J354" s="7"/>
      <c r="K354" s="7" t="s">
        <v>1948</v>
      </c>
      <c r="L354" s="4" t="s">
        <v>782</v>
      </c>
      <c r="M354" s="4" t="s">
        <v>167</v>
      </c>
      <c r="N354" s="4" t="s">
        <v>250</v>
      </c>
      <c r="O354" s="4" t="s">
        <v>783</v>
      </c>
      <c r="P354" s="5">
        <v>46270.666666666664</v>
      </c>
      <c r="Q354" s="4" t="s">
        <v>1949</v>
      </c>
      <c r="R354" s="31" t="s">
        <v>31</v>
      </c>
      <c r="S354" s="33">
        <v>0</v>
      </c>
      <c r="T354" s="31" t="s">
        <v>94</v>
      </c>
      <c r="U354" s="33"/>
      <c r="V354" s="31" t="s">
        <v>110</v>
      </c>
      <c r="W354" s="7"/>
      <c r="X354" s="35">
        <v>46271.058773634257</v>
      </c>
      <c r="Y354" s="31" t="s">
        <v>785</v>
      </c>
      <c r="Z354" s="47"/>
      <c r="AA354" s="4"/>
      <c r="AB354" s="7"/>
    </row>
    <row r="355" spans="1:28" ht="42" customHeight="1">
      <c r="A355" s="6" t="s">
        <v>1950</v>
      </c>
      <c r="B355" s="4" t="s">
        <v>1951</v>
      </c>
      <c r="C355" s="4" t="s">
        <v>1951</v>
      </c>
      <c r="D355" s="4" t="s">
        <v>777</v>
      </c>
      <c r="E355" s="4" t="s">
        <v>778</v>
      </c>
      <c r="F355" s="4" t="s">
        <v>45</v>
      </c>
      <c r="G355" s="4" t="s">
        <v>1952</v>
      </c>
      <c r="H355" s="4" t="s">
        <v>948</v>
      </c>
      <c r="I355" s="4" t="s">
        <v>780</v>
      </c>
      <c r="J355" s="7"/>
      <c r="K355" s="7" t="s">
        <v>1953</v>
      </c>
      <c r="L355" s="4" t="s">
        <v>782</v>
      </c>
      <c r="M355" s="4" t="s">
        <v>167</v>
      </c>
      <c r="N355" s="4" t="s">
        <v>250</v>
      </c>
      <c r="O355" s="4" t="s">
        <v>783</v>
      </c>
      <c r="P355" s="5">
        <v>46270.666666666664</v>
      </c>
      <c r="Q355" s="4" t="s">
        <v>1954</v>
      </c>
      <c r="R355" s="31" t="s">
        <v>31</v>
      </c>
      <c r="S355" s="33">
        <v>0</v>
      </c>
      <c r="T355" s="31" t="s">
        <v>94</v>
      </c>
      <c r="U355" s="33"/>
      <c r="V355" s="31" t="s">
        <v>110</v>
      </c>
      <c r="W355" s="7"/>
      <c r="X355" s="35">
        <v>46271.058773634257</v>
      </c>
      <c r="Y355" s="31" t="s">
        <v>785</v>
      </c>
      <c r="Z355" s="47"/>
      <c r="AA355" s="4"/>
      <c r="AB355" s="7"/>
    </row>
    <row r="356" spans="1:28" ht="42" customHeight="1">
      <c r="A356" s="6" t="s">
        <v>1955</v>
      </c>
      <c r="B356" s="4" t="s">
        <v>1956</v>
      </c>
      <c r="C356" s="4" t="s">
        <v>1956</v>
      </c>
      <c r="D356" s="4" t="s">
        <v>777</v>
      </c>
      <c r="E356" s="4" t="s">
        <v>778</v>
      </c>
      <c r="F356" s="4" t="s">
        <v>45</v>
      </c>
      <c r="G356" s="4" t="s">
        <v>1957</v>
      </c>
      <c r="H356" s="4" t="s">
        <v>1958</v>
      </c>
      <c r="I356" s="4" t="s">
        <v>780</v>
      </c>
      <c r="J356" s="7"/>
      <c r="K356" s="7" t="s">
        <v>1959</v>
      </c>
      <c r="L356" s="4" t="s">
        <v>782</v>
      </c>
      <c r="M356" s="4" t="s">
        <v>167</v>
      </c>
      <c r="N356" s="4" t="s">
        <v>250</v>
      </c>
      <c r="O356" s="4" t="s">
        <v>783</v>
      </c>
      <c r="P356" s="5">
        <v>46270.666666666664</v>
      </c>
      <c r="Q356" s="4" t="s">
        <v>1960</v>
      </c>
      <c r="R356" s="31" t="s">
        <v>31</v>
      </c>
      <c r="S356" s="33">
        <v>0</v>
      </c>
      <c r="T356" s="31" t="s">
        <v>94</v>
      </c>
      <c r="U356" s="33"/>
      <c r="V356" s="31" t="s">
        <v>110</v>
      </c>
      <c r="W356" s="7"/>
      <c r="X356" s="35">
        <v>46271.058773634257</v>
      </c>
      <c r="Y356" s="31" t="s">
        <v>785</v>
      </c>
      <c r="Z356" s="47"/>
      <c r="AA356" s="4"/>
      <c r="AB356" s="7"/>
    </row>
    <row r="357" spans="1:28" ht="42" customHeight="1">
      <c r="A357" s="6" t="s">
        <v>1961</v>
      </c>
      <c r="B357" s="4" t="s">
        <v>1962</v>
      </c>
      <c r="C357" s="4" t="s">
        <v>1962</v>
      </c>
      <c r="D357" s="4" t="s">
        <v>777</v>
      </c>
      <c r="E357" s="4" t="s">
        <v>778</v>
      </c>
      <c r="F357" s="4" t="s">
        <v>45</v>
      </c>
      <c r="G357" s="4" t="s">
        <v>703</v>
      </c>
      <c r="H357" s="4" t="s">
        <v>1963</v>
      </c>
      <c r="I357" s="4" t="s">
        <v>780</v>
      </c>
      <c r="J357" s="7"/>
      <c r="K357" s="7" t="s">
        <v>1964</v>
      </c>
      <c r="L357" s="4" t="s">
        <v>782</v>
      </c>
      <c r="M357" s="4" t="s">
        <v>167</v>
      </c>
      <c r="N357" s="4" t="s">
        <v>250</v>
      </c>
      <c r="O357" s="4" t="s">
        <v>783</v>
      </c>
      <c r="P357" s="5">
        <v>46270.666666666664</v>
      </c>
      <c r="Q357" s="4" t="s">
        <v>1965</v>
      </c>
      <c r="R357" s="31" t="s">
        <v>31</v>
      </c>
      <c r="S357" s="33">
        <v>0</v>
      </c>
      <c r="T357" s="31" t="s">
        <v>94</v>
      </c>
      <c r="U357" s="33"/>
      <c r="V357" s="31" t="s">
        <v>110</v>
      </c>
      <c r="W357" s="7"/>
      <c r="X357" s="35">
        <v>46271.058773634257</v>
      </c>
      <c r="Y357" s="31" t="s">
        <v>785</v>
      </c>
      <c r="Z357" s="47"/>
      <c r="AA357" s="4"/>
      <c r="AB357" s="7"/>
    </row>
    <row r="358" spans="1:28" ht="42" customHeight="1">
      <c r="A358" s="6" t="s">
        <v>1966</v>
      </c>
      <c r="B358" s="4" t="s">
        <v>1967</v>
      </c>
      <c r="C358" s="4" t="s">
        <v>1967</v>
      </c>
      <c r="D358" s="4" t="s">
        <v>777</v>
      </c>
      <c r="E358" s="4" t="s">
        <v>778</v>
      </c>
      <c r="F358" s="4" t="s">
        <v>45</v>
      </c>
      <c r="G358" s="4" t="s">
        <v>1968</v>
      </c>
      <c r="H358" s="4" t="s">
        <v>788</v>
      </c>
      <c r="I358" s="4" t="s">
        <v>780</v>
      </c>
      <c r="J358" s="7"/>
      <c r="K358" s="7" t="s">
        <v>1969</v>
      </c>
      <c r="L358" s="4" t="s">
        <v>782</v>
      </c>
      <c r="M358" s="4" t="s">
        <v>167</v>
      </c>
      <c r="N358" s="4" t="s">
        <v>250</v>
      </c>
      <c r="O358" s="4" t="s">
        <v>783</v>
      </c>
      <c r="P358" s="5">
        <v>46270.666666666664</v>
      </c>
      <c r="Q358" s="4" t="s">
        <v>1970</v>
      </c>
      <c r="R358" s="31" t="s">
        <v>31</v>
      </c>
      <c r="S358" s="33">
        <v>0</v>
      </c>
      <c r="T358" s="31" t="s">
        <v>94</v>
      </c>
      <c r="U358" s="33"/>
      <c r="V358" s="31" t="s">
        <v>110</v>
      </c>
      <c r="W358" s="7"/>
      <c r="X358" s="35">
        <v>46271.058773634257</v>
      </c>
      <c r="Y358" s="31" t="s">
        <v>785</v>
      </c>
      <c r="Z358" s="47"/>
      <c r="AA358" s="4"/>
      <c r="AB358" s="7"/>
    </row>
    <row r="359" spans="1:28" ht="42" customHeight="1">
      <c r="A359" s="6" t="s">
        <v>1971</v>
      </c>
      <c r="B359" s="4" t="s">
        <v>1972</v>
      </c>
      <c r="C359" s="4" t="s">
        <v>1972</v>
      </c>
      <c r="D359" s="4" t="s">
        <v>777</v>
      </c>
      <c r="E359" s="4" t="s">
        <v>778</v>
      </c>
      <c r="F359" s="4" t="s">
        <v>45</v>
      </c>
      <c r="G359" s="4" t="s">
        <v>1973</v>
      </c>
      <c r="H359" s="4" t="s">
        <v>948</v>
      </c>
      <c r="I359" s="4" t="s">
        <v>780</v>
      </c>
      <c r="J359" s="7"/>
      <c r="K359" s="7" t="s">
        <v>1974</v>
      </c>
      <c r="L359" s="4" t="s">
        <v>782</v>
      </c>
      <c r="M359" s="4" t="s">
        <v>167</v>
      </c>
      <c r="N359" s="4" t="s">
        <v>250</v>
      </c>
      <c r="O359" s="4" t="s">
        <v>783</v>
      </c>
      <c r="P359" s="5">
        <v>46270.666666666664</v>
      </c>
      <c r="Q359" s="4" t="s">
        <v>1975</v>
      </c>
      <c r="R359" s="31" t="s">
        <v>31</v>
      </c>
      <c r="S359" s="33">
        <v>0</v>
      </c>
      <c r="T359" s="31" t="s">
        <v>94</v>
      </c>
      <c r="U359" s="33"/>
      <c r="V359" s="31" t="s">
        <v>110</v>
      </c>
      <c r="W359" s="7"/>
      <c r="X359" s="35">
        <v>46271.058773634257</v>
      </c>
      <c r="Y359" s="31" t="s">
        <v>785</v>
      </c>
      <c r="Z359" s="47"/>
      <c r="AA359" s="4"/>
      <c r="AB359" s="7"/>
    </row>
    <row r="360" spans="1:28" ht="42" customHeight="1">
      <c r="A360" s="6" t="s">
        <v>1976</v>
      </c>
      <c r="B360" s="4" t="s">
        <v>1977</v>
      </c>
      <c r="C360" s="4" t="s">
        <v>1977</v>
      </c>
      <c r="D360" s="4" t="s">
        <v>777</v>
      </c>
      <c r="E360" s="4" t="s">
        <v>778</v>
      </c>
      <c r="F360" s="4" t="s">
        <v>45</v>
      </c>
      <c r="G360" s="4" t="s">
        <v>1978</v>
      </c>
      <c r="H360" s="4" t="s">
        <v>992</v>
      </c>
      <c r="I360" s="4" t="s">
        <v>780</v>
      </c>
      <c r="J360" s="7"/>
      <c r="K360" s="7" t="s">
        <v>1979</v>
      </c>
      <c r="L360" s="4" t="s">
        <v>782</v>
      </c>
      <c r="M360" s="4" t="s">
        <v>167</v>
      </c>
      <c r="N360" s="4" t="s">
        <v>250</v>
      </c>
      <c r="O360" s="4" t="s">
        <v>783</v>
      </c>
      <c r="P360" s="5">
        <v>46270.666666666664</v>
      </c>
      <c r="Q360" s="4" t="s">
        <v>1980</v>
      </c>
      <c r="R360" s="31" t="s">
        <v>31</v>
      </c>
      <c r="S360" s="33">
        <v>0</v>
      </c>
      <c r="T360" s="31" t="s">
        <v>94</v>
      </c>
      <c r="U360" s="33"/>
      <c r="V360" s="31" t="s">
        <v>110</v>
      </c>
      <c r="W360" s="7"/>
      <c r="X360" s="35">
        <v>46271.058773634257</v>
      </c>
      <c r="Y360" s="31" t="s">
        <v>785</v>
      </c>
      <c r="Z360" s="47"/>
      <c r="AA360" s="4"/>
      <c r="AB360" s="7"/>
    </row>
    <row r="361" spans="1:28" ht="42" customHeight="1">
      <c r="A361" s="6" t="s">
        <v>1981</v>
      </c>
      <c r="B361" s="4" t="s">
        <v>1982</v>
      </c>
      <c r="C361" s="4" t="s">
        <v>1982</v>
      </c>
      <c r="D361" s="4" t="s">
        <v>777</v>
      </c>
      <c r="E361" s="4" t="s">
        <v>778</v>
      </c>
      <c r="F361" s="4" t="s">
        <v>45</v>
      </c>
      <c r="G361" s="4" t="s">
        <v>1983</v>
      </c>
      <c r="H361" s="4" t="s">
        <v>948</v>
      </c>
      <c r="I361" s="4" t="s">
        <v>780</v>
      </c>
      <c r="J361" s="7"/>
      <c r="K361" s="7" t="s">
        <v>1984</v>
      </c>
      <c r="L361" s="4" t="s">
        <v>782</v>
      </c>
      <c r="M361" s="4" t="s">
        <v>167</v>
      </c>
      <c r="N361" s="4" t="s">
        <v>250</v>
      </c>
      <c r="O361" s="4" t="s">
        <v>783</v>
      </c>
      <c r="P361" s="5">
        <v>46270.666666666664</v>
      </c>
      <c r="Q361" s="4" t="s">
        <v>1985</v>
      </c>
      <c r="R361" s="31" t="s">
        <v>31</v>
      </c>
      <c r="S361" s="33">
        <v>0</v>
      </c>
      <c r="T361" s="31" t="s">
        <v>94</v>
      </c>
      <c r="U361" s="33"/>
      <c r="V361" s="31" t="s">
        <v>110</v>
      </c>
      <c r="W361" s="7"/>
      <c r="X361" s="35">
        <v>46271.058773634257</v>
      </c>
      <c r="Y361" s="31" t="s">
        <v>785</v>
      </c>
      <c r="Z361" s="47"/>
      <c r="AA361" s="4"/>
      <c r="AB361" s="7"/>
    </row>
    <row r="362" spans="1:28" ht="42" customHeight="1">
      <c r="A362" s="6" t="s">
        <v>1986</v>
      </c>
      <c r="B362" s="4" t="s">
        <v>1987</v>
      </c>
      <c r="C362" s="4" t="s">
        <v>1987</v>
      </c>
      <c r="D362" s="4" t="s">
        <v>777</v>
      </c>
      <c r="E362" s="4" t="s">
        <v>778</v>
      </c>
      <c r="F362" s="4" t="s">
        <v>46</v>
      </c>
      <c r="G362" s="4"/>
      <c r="H362" s="4" t="s">
        <v>788</v>
      </c>
      <c r="I362" s="4" t="s">
        <v>780</v>
      </c>
      <c r="J362" s="7"/>
      <c r="K362" s="7" t="s">
        <v>1988</v>
      </c>
      <c r="L362" s="4" t="s">
        <v>782</v>
      </c>
      <c r="M362" s="4" t="s">
        <v>167</v>
      </c>
      <c r="N362" s="4" t="s">
        <v>250</v>
      </c>
      <c r="O362" s="4" t="s">
        <v>783</v>
      </c>
      <c r="P362" s="5">
        <v>46270.666666666664</v>
      </c>
      <c r="Q362" s="4" t="s">
        <v>1989</v>
      </c>
      <c r="R362" s="31" t="s">
        <v>31</v>
      </c>
      <c r="S362" s="33">
        <v>0</v>
      </c>
      <c r="T362" s="31" t="s">
        <v>94</v>
      </c>
      <c r="U362" s="33"/>
      <c r="V362" s="31" t="s">
        <v>110</v>
      </c>
      <c r="W362" s="7"/>
      <c r="X362" s="35">
        <v>46271.058773634257</v>
      </c>
      <c r="Y362" s="31" t="s">
        <v>785</v>
      </c>
      <c r="Z362" s="47"/>
      <c r="AA362" s="4"/>
      <c r="AB362" s="7"/>
    </row>
    <row r="363" spans="1:28" ht="42" customHeight="1">
      <c r="A363" s="6" t="s">
        <v>1990</v>
      </c>
      <c r="B363" s="4" t="s">
        <v>1991</v>
      </c>
      <c r="C363" s="4" t="s">
        <v>1991</v>
      </c>
      <c r="D363" s="4" t="s">
        <v>777</v>
      </c>
      <c r="E363" s="4" t="s">
        <v>778</v>
      </c>
      <c r="F363" s="4" t="s">
        <v>46</v>
      </c>
      <c r="G363" s="4" t="s">
        <v>718</v>
      </c>
      <c r="H363" s="4" t="s">
        <v>788</v>
      </c>
      <c r="I363" s="4" t="s">
        <v>780</v>
      </c>
      <c r="J363" s="7"/>
      <c r="K363" s="7" t="s">
        <v>1992</v>
      </c>
      <c r="L363" s="4" t="s">
        <v>782</v>
      </c>
      <c r="M363" s="4" t="s">
        <v>167</v>
      </c>
      <c r="N363" s="4" t="s">
        <v>250</v>
      </c>
      <c r="O363" s="4" t="s">
        <v>783</v>
      </c>
      <c r="P363" s="5">
        <v>46270.666666666664</v>
      </c>
      <c r="Q363" s="4" t="s">
        <v>1993</v>
      </c>
      <c r="R363" s="31" t="s">
        <v>31</v>
      </c>
      <c r="S363" s="33">
        <v>0</v>
      </c>
      <c r="T363" s="31" t="s">
        <v>94</v>
      </c>
      <c r="U363" s="33"/>
      <c r="V363" s="31" t="s">
        <v>110</v>
      </c>
      <c r="W363" s="7"/>
      <c r="X363" s="35">
        <v>46271.058773634257</v>
      </c>
      <c r="Y363" s="31" t="s">
        <v>785</v>
      </c>
      <c r="Z363" s="47"/>
      <c r="AA363" s="4"/>
      <c r="AB363" s="7"/>
    </row>
    <row r="364" spans="1:28" ht="42" customHeight="1">
      <c r="A364" s="6" t="s">
        <v>1994</v>
      </c>
      <c r="B364" s="4" t="s">
        <v>1995</v>
      </c>
      <c r="C364" s="4" t="s">
        <v>1995</v>
      </c>
      <c r="D364" s="4" t="s">
        <v>777</v>
      </c>
      <c r="E364" s="4" t="s">
        <v>778</v>
      </c>
      <c r="F364" s="4" t="s">
        <v>46</v>
      </c>
      <c r="G364" s="4"/>
      <c r="H364" s="4" t="s">
        <v>1024</v>
      </c>
      <c r="I364" s="4" t="s">
        <v>780</v>
      </c>
      <c r="J364" s="7"/>
      <c r="K364" s="7" t="s">
        <v>1996</v>
      </c>
      <c r="L364" s="4" t="s">
        <v>782</v>
      </c>
      <c r="M364" s="4" t="s">
        <v>167</v>
      </c>
      <c r="N364" s="4" t="s">
        <v>250</v>
      </c>
      <c r="O364" s="4" t="s">
        <v>783</v>
      </c>
      <c r="P364" s="5">
        <v>46270.666666666664</v>
      </c>
      <c r="Q364" s="4" t="s">
        <v>1997</v>
      </c>
      <c r="R364" s="31" t="s">
        <v>31</v>
      </c>
      <c r="S364" s="33">
        <v>0</v>
      </c>
      <c r="T364" s="31" t="s">
        <v>94</v>
      </c>
      <c r="U364" s="33"/>
      <c r="V364" s="31" t="s">
        <v>110</v>
      </c>
      <c r="W364" s="7"/>
      <c r="X364" s="35">
        <v>46271.058773634257</v>
      </c>
      <c r="Y364" s="31" t="s">
        <v>785</v>
      </c>
      <c r="Z364" s="47"/>
      <c r="AA364" s="4"/>
      <c r="AB364" s="7"/>
    </row>
    <row r="365" spans="1:28" ht="42" customHeight="1">
      <c r="A365" s="6" t="s">
        <v>1998</v>
      </c>
      <c r="B365" s="4" t="s">
        <v>1999</v>
      </c>
      <c r="C365" s="4" t="s">
        <v>1999</v>
      </c>
      <c r="D365" s="4" t="s">
        <v>777</v>
      </c>
      <c r="E365" s="4" t="s">
        <v>778</v>
      </c>
      <c r="F365" s="4" t="s">
        <v>46</v>
      </c>
      <c r="G365" s="4" t="s">
        <v>718</v>
      </c>
      <c r="H365" s="4" t="s">
        <v>788</v>
      </c>
      <c r="I365" s="4" t="s">
        <v>780</v>
      </c>
      <c r="J365" s="7"/>
      <c r="K365" s="7" t="s">
        <v>2000</v>
      </c>
      <c r="L365" s="4" t="s">
        <v>782</v>
      </c>
      <c r="M365" s="4" t="s">
        <v>167</v>
      </c>
      <c r="N365" s="4" t="s">
        <v>250</v>
      </c>
      <c r="O365" s="4" t="s">
        <v>783</v>
      </c>
      <c r="P365" s="5">
        <v>46270.666666666664</v>
      </c>
      <c r="Q365" s="4" t="s">
        <v>2001</v>
      </c>
      <c r="R365" s="31" t="s">
        <v>31</v>
      </c>
      <c r="S365" s="33">
        <v>0</v>
      </c>
      <c r="T365" s="31" t="s">
        <v>94</v>
      </c>
      <c r="U365" s="33"/>
      <c r="V365" s="31" t="s">
        <v>110</v>
      </c>
      <c r="W365" s="7"/>
      <c r="X365" s="35">
        <v>46271.058773645833</v>
      </c>
      <c r="Y365" s="31" t="s">
        <v>785</v>
      </c>
      <c r="Z365" s="47"/>
      <c r="AA365" s="4"/>
      <c r="AB365" s="7"/>
    </row>
    <row r="366" spans="1:28" ht="42" customHeight="1">
      <c r="A366" s="6" t="s">
        <v>2002</v>
      </c>
      <c r="B366" s="4" t="s">
        <v>2003</v>
      </c>
      <c r="C366" s="4" t="s">
        <v>2003</v>
      </c>
      <c r="D366" s="4" t="s">
        <v>777</v>
      </c>
      <c r="E366" s="4" t="s">
        <v>778</v>
      </c>
      <c r="F366" s="4" t="s">
        <v>46</v>
      </c>
      <c r="G366" s="4" t="s">
        <v>2004</v>
      </c>
      <c r="H366" s="4" t="s">
        <v>788</v>
      </c>
      <c r="I366" s="4" t="s">
        <v>780</v>
      </c>
      <c r="J366" s="7"/>
      <c r="K366" s="7" t="s">
        <v>2005</v>
      </c>
      <c r="L366" s="4" t="s">
        <v>782</v>
      </c>
      <c r="M366" s="4" t="s">
        <v>167</v>
      </c>
      <c r="N366" s="4" t="s">
        <v>250</v>
      </c>
      <c r="O366" s="4" t="s">
        <v>783</v>
      </c>
      <c r="P366" s="5">
        <v>46270.666666666664</v>
      </c>
      <c r="Q366" s="4" t="s">
        <v>2006</v>
      </c>
      <c r="R366" s="31" t="s">
        <v>31</v>
      </c>
      <c r="S366" s="33">
        <v>0</v>
      </c>
      <c r="T366" s="31" t="s">
        <v>94</v>
      </c>
      <c r="U366" s="33"/>
      <c r="V366" s="31" t="s">
        <v>110</v>
      </c>
      <c r="W366" s="7"/>
      <c r="X366" s="35">
        <v>46271.058773645833</v>
      </c>
      <c r="Y366" s="31" t="s">
        <v>785</v>
      </c>
      <c r="Z366" s="47"/>
      <c r="AA366" s="4"/>
      <c r="AB366" s="7"/>
    </row>
    <row r="367" spans="1:28" ht="42" customHeight="1">
      <c r="A367" s="6" t="s">
        <v>2007</v>
      </c>
      <c r="B367" s="4" t="s">
        <v>2008</v>
      </c>
      <c r="C367" s="4" t="s">
        <v>2008</v>
      </c>
      <c r="D367" s="4" t="s">
        <v>777</v>
      </c>
      <c r="E367" s="4" t="s">
        <v>778</v>
      </c>
      <c r="F367" s="4" t="s">
        <v>46</v>
      </c>
      <c r="G367" s="4" t="s">
        <v>2009</v>
      </c>
      <c r="H367" s="4" t="s">
        <v>1308</v>
      </c>
      <c r="I367" s="4" t="s">
        <v>780</v>
      </c>
      <c r="J367" s="7"/>
      <c r="K367" s="7" t="s">
        <v>2010</v>
      </c>
      <c r="L367" s="4" t="s">
        <v>782</v>
      </c>
      <c r="M367" s="4" t="s">
        <v>167</v>
      </c>
      <c r="N367" s="4" t="s">
        <v>250</v>
      </c>
      <c r="O367" s="4" t="s">
        <v>783</v>
      </c>
      <c r="P367" s="5">
        <v>46270.666666666664</v>
      </c>
      <c r="Q367" s="4" t="s">
        <v>2011</v>
      </c>
      <c r="R367" s="31" t="s">
        <v>31</v>
      </c>
      <c r="S367" s="33">
        <v>0</v>
      </c>
      <c r="T367" s="31" t="s">
        <v>94</v>
      </c>
      <c r="U367" s="33"/>
      <c r="V367" s="31" t="s">
        <v>110</v>
      </c>
      <c r="W367" s="7"/>
      <c r="X367" s="35">
        <v>46271.058773645833</v>
      </c>
      <c r="Y367" s="31" t="s">
        <v>785</v>
      </c>
      <c r="Z367" s="47"/>
      <c r="AA367" s="4"/>
      <c r="AB367" s="7"/>
    </row>
    <row r="368" spans="1:28" ht="42" customHeight="1">
      <c r="A368" s="6" t="s">
        <v>2012</v>
      </c>
      <c r="B368" s="4" t="s">
        <v>728</v>
      </c>
      <c r="C368" s="4" t="s">
        <v>728</v>
      </c>
      <c r="D368" s="4" t="s">
        <v>777</v>
      </c>
      <c r="E368" s="4" t="s">
        <v>778</v>
      </c>
      <c r="F368" s="4" t="s">
        <v>46</v>
      </c>
      <c r="G368" s="4" t="s">
        <v>730</v>
      </c>
      <c r="H368" s="4" t="s">
        <v>948</v>
      </c>
      <c r="I368" s="4" t="s">
        <v>780</v>
      </c>
      <c r="J368" s="7"/>
      <c r="K368" s="7" t="s">
        <v>2013</v>
      </c>
      <c r="L368" s="4" t="s">
        <v>782</v>
      </c>
      <c r="M368" s="4" t="s">
        <v>167</v>
      </c>
      <c r="N368" s="4" t="s">
        <v>250</v>
      </c>
      <c r="O368" s="4" t="s">
        <v>783</v>
      </c>
      <c r="P368" s="5">
        <v>46270.666666666664</v>
      </c>
      <c r="Q368" s="4" t="s">
        <v>2014</v>
      </c>
      <c r="R368" s="31" t="s">
        <v>31</v>
      </c>
      <c r="S368" s="33">
        <v>0</v>
      </c>
      <c r="T368" s="31" t="s">
        <v>94</v>
      </c>
      <c r="U368" s="33"/>
      <c r="V368" s="31" t="s">
        <v>110</v>
      </c>
      <c r="W368" s="7"/>
      <c r="X368" s="35">
        <v>46271.058773645833</v>
      </c>
      <c r="Y368" s="31" t="s">
        <v>785</v>
      </c>
      <c r="Z368" s="47"/>
      <c r="AA368" s="4"/>
      <c r="AB368" s="7"/>
    </row>
    <row r="369" spans="1:28" ht="42" customHeight="1">
      <c r="A369" s="6" t="s">
        <v>2015</v>
      </c>
      <c r="B369" s="4" t="s">
        <v>2016</v>
      </c>
      <c r="C369" s="4" t="s">
        <v>2016</v>
      </c>
      <c r="D369" s="4" t="s">
        <v>777</v>
      </c>
      <c r="E369" s="4" t="s">
        <v>778</v>
      </c>
      <c r="F369" s="4" t="s">
        <v>46</v>
      </c>
      <c r="G369" s="4" t="s">
        <v>718</v>
      </c>
      <c r="H369" s="4" t="s">
        <v>788</v>
      </c>
      <c r="I369" s="4" t="s">
        <v>780</v>
      </c>
      <c r="J369" s="7"/>
      <c r="K369" s="7" t="s">
        <v>2017</v>
      </c>
      <c r="L369" s="4" t="s">
        <v>782</v>
      </c>
      <c r="M369" s="4" t="s">
        <v>167</v>
      </c>
      <c r="N369" s="4" t="s">
        <v>250</v>
      </c>
      <c r="O369" s="4" t="s">
        <v>783</v>
      </c>
      <c r="P369" s="5">
        <v>46270.666666666664</v>
      </c>
      <c r="Q369" s="4" t="s">
        <v>2018</v>
      </c>
      <c r="R369" s="31" t="s">
        <v>31</v>
      </c>
      <c r="S369" s="33">
        <v>0</v>
      </c>
      <c r="T369" s="31" t="s">
        <v>94</v>
      </c>
      <c r="U369" s="33"/>
      <c r="V369" s="31" t="s">
        <v>110</v>
      </c>
      <c r="W369" s="7"/>
      <c r="X369" s="35">
        <v>46271.058773645833</v>
      </c>
      <c r="Y369" s="31" t="s">
        <v>785</v>
      </c>
      <c r="Z369" s="47"/>
      <c r="AA369" s="4"/>
      <c r="AB369" s="7"/>
    </row>
    <row r="370" spans="1:28" ht="42" customHeight="1">
      <c r="A370" s="6" t="s">
        <v>2019</v>
      </c>
      <c r="B370" s="4" t="s">
        <v>2020</v>
      </c>
      <c r="C370" s="4" t="s">
        <v>2020</v>
      </c>
      <c r="D370" s="4" t="s">
        <v>777</v>
      </c>
      <c r="E370" s="4" t="s">
        <v>778</v>
      </c>
      <c r="F370" s="4" t="s">
        <v>46</v>
      </c>
      <c r="G370" s="4" t="s">
        <v>718</v>
      </c>
      <c r="H370" s="4" t="s">
        <v>2021</v>
      </c>
      <c r="I370" s="4" t="s">
        <v>780</v>
      </c>
      <c r="J370" s="7"/>
      <c r="K370" s="7" t="s">
        <v>2022</v>
      </c>
      <c r="L370" s="4" t="s">
        <v>782</v>
      </c>
      <c r="M370" s="4" t="s">
        <v>167</v>
      </c>
      <c r="N370" s="4" t="s">
        <v>250</v>
      </c>
      <c r="O370" s="4" t="s">
        <v>783</v>
      </c>
      <c r="P370" s="5">
        <v>46270.666666666664</v>
      </c>
      <c r="Q370" s="4" t="s">
        <v>2023</v>
      </c>
      <c r="R370" s="31" t="s">
        <v>31</v>
      </c>
      <c r="S370" s="33">
        <v>0</v>
      </c>
      <c r="T370" s="31" t="s">
        <v>94</v>
      </c>
      <c r="U370" s="33"/>
      <c r="V370" s="31" t="s">
        <v>110</v>
      </c>
      <c r="W370" s="7"/>
      <c r="X370" s="35">
        <v>46271.058773645833</v>
      </c>
      <c r="Y370" s="31" t="s">
        <v>785</v>
      </c>
      <c r="Z370" s="47"/>
      <c r="AA370" s="4"/>
      <c r="AB370" s="7"/>
    </row>
    <row r="371" spans="1:28" ht="42" customHeight="1">
      <c r="A371" s="6" t="s">
        <v>2024</v>
      </c>
      <c r="B371" s="4" t="s">
        <v>2025</v>
      </c>
      <c r="C371" s="4" t="s">
        <v>2025</v>
      </c>
      <c r="D371" s="4" t="s">
        <v>777</v>
      </c>
      <c r="E371" s="4" t="s">
        <v>778</v>
      </c>
      <c r="F371" s="4" t="s">
        <v>46</v>
      </c>
      <c r="G371" s="4" t="s">
        <v>730</v>
      </c>
      <c r="H371" s="4" t="s">
        <v>2026</v>
      </c>
      <c r="I371" s="4" t="s">
        <v>780</v>
      </c>
      <c r="J371" s="7"/>
      <c r="K371" s="7" t="s">
        <v>2027</v>
      </c>
      <c r="L371" s="4" t="s">
        <v>782</v>
      </c>
      <c r="M371" s="4" t="s">
        <v>167</v>
      </c>
      <c r="N371" s="4" t="s">
        <v>250</v>
      </c>
      <c r="O371" s="4" t="s">
        <v>783</v>
      </c>
      <c r="P371" s="5">
        <v>46270.666666666664</v>
      </c>
      <c r="Q371" s="4" t="s">
        <v>2028</v>
      </c>
      <c r="R371" s="31" t="s">
        <v>31</v>
      </c>
      <c r="S371" s="33">
        <v>0</v>
      </c>
      <c r="T371" s="31" t="s">
        <v>94</v>
      </c>
      <c r="U371" s="33"/>
      <c r="V371" s="31" t="s">
        <v>110</v>
      </c>
      <c r="W371" s="7"/>
      <c r="X371" s="35">
        <v>46271.058773645833</v>
      </c>
      <c r="Y371" s="31" t="s">
        <v>785</v>
      </c>
      <c r="Z371" s="47"/>
      <c r="AA371" s="4"/>
      <c r="AB371" s="7"/>
    </row>
    <row r="372" spans="1:28" ht="42" customHeight="1">
      <c r="A372" s="6" t="s">
        <v>2029</v>
      </c>
      <c r="B372" s="4" t="s">
        <v>2030</v>
      </c>
      <c r="C372" s="4" t="s">
        <v>2030</v>
      </c>
      <c r="D372" s="4" t="s">
        <v>777</v>
      </c>
      <c r="E372" s="4" t="s">
        <v>778</v>
      </c>
      <c r="F372" s="4" t="s">
        <v>46</v>
      </c>
      <c r="G372" s="4" t="s">
        <v>718</v>
      </c>
      <c r="H372" s="4" t="s">
        <v>2031</v>
      </c>
      <c r="I372" s="4" t="s">
        <v>780</v>
      </c>
      <c r="J372" s="7"/>
      <c r="K372" s="7" t="s">
        <v>2032</v>
      </c>
      <c r="L372" s="4" t="s">
        <v>782</v>
      </c>
      <c r="M372" s="4" t="s">
        <v>167</v>
      </c>
      <c r="N372" s="4" t="s">
        <v>250</v>
      </c>
      <c r="O372" s="4" t="s">
        <v>783</v>
      </c>
      <c r="P372" s="5">
        <v>46270.666666666664</v>
      </c>
      <c r="Q372" s="4" t="s">
        <v>2033</v>
      </c>
      <c r="R372" s="31" t="s">
        <v>31</v>
      </c>
      <c r="S372" s="33">
        <v>0</v>
      </c>
      <c r="T372" s="31" t="s">
        <v>94</v>
      </c>
      <c r="U372" s="33"/>
      <c r="V372" s="31" t="s">
        <v>110</v>
      </c>
      <c r="W372" s="7"/>
      <c r="X372" s="35">
        <v>46271.058773645833</v>
      </c>
      <c r="Y372" s="31" t="s">
        <v>785</v>
      </c>
      <c r="Z372" s="47"/>
      <c r="AA372" s="4"/>
      <c r="AB372" s="7"/>
    </row>
    <row r="373" spans="1:28" ht="42" customHeight="1">
      <c r="A373" s="6" t="s">
        <v>2034</v>
      </c>
      <c r="B373" s="4" t="s">
        <v>2035</v>
      </c>
      <c r="C373" s="4" t="s">
        <v>2035</v>
      </c>
      <c r="D373" s="4" t="s">
        <v>777</v>
      </c>
      <c r="E373" s="4" t="s">
        <v>778</v>
      </c>
      <c r="F373" s="4" t="s">
        <v>46</v>
      </c>
      <c r="G373" s="4" t="s">
        <v>739</v>
      </c>
      <c r="H373" s="4" t="s">
        <v>974</v>
      </c>
      <c r="I373" s="4" t="s">
        <v>780</v>
      </c>
      <c r="J373" s="7"/>
      <c r="K373" s="7" t="s">
        <v>2036</v>
      </c>
      <c r="L373" s="4" t="s">
        <v>782</v>
      </c>
      <c r="M373" s="4" t="s">
        <v>167</v>
      </c>
      <c r="N373" s="4" t="s">
        <v>250</v>
      </c>
      <c r="O373" s="4" t="s">
        <v>783</v>
      </c>
      <c r="P373" s="5">
        <v>46270.666666666664</v>
      </c>
      <c r="Q373" s="4" t="s">
        <v>2037</v>
      </c>
      <c r="R373" s="31" t="s">
        <v>31</v>
      </c>
      <c r="S373" s="33">
        <v>0</v>
      </c>
      <c r="T373" s="31" t="s">
        <v>94</v>
      </c>
      <c r="U373" s="33"/>
      <c r="V373" s="31" t="s">
        <v>110</v>
      </c>
      <c r="W373" s="7"/>
      <c r="X373" s="35">
        <v>46271.058773645833</v>
      </c>
      <c r="Y373" s="31" t="s">
        <v>785</v>
      </c>
      <c r="Z373" s="47"/>
      <c r="AA373" s="4"/>
      <c r="AB373" s="7"/>
    </row>
    <row r="374" spans="1:28" ht="42" customHeight="1">
      <c r="A374" s="6" t="s">
        <v>2038</v>
      </c>
      <c r="B374" s="4" t="s">
        <v>2039</v>
      </c>
      <c r="C374" s="4" t="s">
        <v>2039</v>
      </c>
      <c r="D374" s="4" t="s">
        <v>777</v>
      </c>
      <c r="E374" s="4" t="s">
        <v>778</v>
      </c>
      <c r="F374" s="4" t="s">
        <v>46</v>
      </c>
      <c r="G374" s="4" t="s">
        <v>2040</v>
      </c>
      <c r="H374" s="4" t="s">
        <v>788</v>
      </c>
      <c r="I374" s="4" t="s">
        <v>780</v>
      </c>
      <c r="J374" s="7"/>
      <c r="K374" s="7" t="s">
        <v>2041</v>
      </c>
      <c r="L374" s="4" t="s">
        <v>782</v>
      </c>
      <c r="M374" s="4" t="s">
        <v>167</v>
      </c>
      <c r="N374" s="4" t="s">
        <v>250</v>
      </c>
      <c r="O374" s="4" t="s">
        <v>783</v>
      </c>
      <c r="P374" s="5">
        <v>46270.666666666664</v>
      </c>
      <c r="Q374" s="4" t="s">
        <v>2042</v>
      </c>
      <c r="R374" s="31" t="s">
        <v>31</v>
      </c>
      <c r="S374" s="33">
        <v>0</v>
      </c>
      <c r="T374" s="31" t="s">
        <v>94</v>
      </c>
      <c r="U374" s="33"/>
      <c r="V374" s="31" t="s">
        <v>110</v>
      </c>
      <c r="W374" s="7"/>
      <c r="X374" s="35">
        <v>46271.058773645833</v>
      </c>
      <c r="Y374" s="31" t="s">
        <v>785</v>
      </c>
      <c r="Z374" s="47"/>
      <c r="AA374" s="4"/>
      <c r="AB374" s="7"/>
    </row>
    <row r="375" spans="1:28" ht="42" customHeight="1">
      <c r="A375" s="6" t="s">
        <v>2043</v>
      </c>
      <c r="B375" s="4" t="s">
        <v>2044</v>
      </c>
      <c r="C375" s="4" t="s">
        <v>2044</v>
      </c>
      <c r="D375" s="4" t="s">
        <v>777</v>
      </c>
      <c r="E375" s="4" t="s">
        <v>778</v>
      </c>
      <c r="F375" s="4" t="s">
        <v>46</v>
      </c>
      <c r="G375" s="4" t="s">
        <v>2045</v>
      </c>
      <c r="H375" s="4" t="s">
        <v>788</v>
      </c>
      <c r="I375" s="4" t="s">
        <v>780</v>
      </c>
      <c r="J375" s="7"/>
      <c r="K375" s="7" t="s">
        <v>2046</v>
      </c>
      <c r="L375" s="4" t="s">
        <v>782</v>
      </c>
      <c r="M375" s="4" t="s">
        <v>167</v>
      </c>
      <c r="N375" s="4" t="s">
        <v>250</v>
      </c>
      <c r="O375" s="4" t="s">
        <v>783</v>
      </c>
      <c r="P375" s="5">
        <v>46270.666666666664</v>
      </c>
      <c r="Q375" s="4" t="s">
        <v>2047</v>
      </c>
      <c r="R375" s="31" t="s">
        <v>31</v>
      </c>
      <c r="S375" s="33">
        <v>0</v>
      </c>
      <c r="T375" s="31" t="s">
        <v>94</v>
      </c>
      <c r="U375" s="33"/>
      <c r="V375" s="31" t="s">
        <v>110</v>
      </c>
      <c r="W375" s="7"/>
      <c r="X375" s="35">
        <v>46271.058773645833</v>
      </c>
      <c r="Y375" s="31" t="s">
        <v>785</v>
      </c>
      <c r="Z375" s="47"/>
      <c r="AA375" s="4"/>
      <c r="AB375" s="7"/>
    </row>
    <row r="376" spans="1:28" ht="42" customHeight="1">
      <c r="A376" s="6" t="s">
        <v>2048</v>
      </c>
      <c r="B376" s="4" t="s">
        <v>2049</v>
      </c>
      <c r="C376" s="4" t="s">
        <v>2049</v>
      </c>
      <c r="D376" s="4" t="s">
        <v>777</v>
      </c>
      <c r="E376" s="4" t="s">
        <v>778</v>
      </c>
      <c r="F376" s="4" t="s">
        <v>46</v>
      </c>
      <c r="G376" s="4" t="s">
        <v>2050</v>
      </c>
      <c r="H376" s="4" t="s">
        <v>788</v>
      </c>
      <c r="I376" s="4" t="s">
        <v>780</v>
      </c>
      <c r="J376" s="7"/>
      <c r="K376" s="7" t="s">
        <v>2051</v>
      </c>
      <c r="L376" s="4" t="s">
        <v>782</v>
      </c>
      <c r="M376" s="4" t="s">
        <v>167</v>
      </c>
      <c r="N376" s="4" t="s">
        <v>250</v>
      </c>
      <c r="O376" s="4" t="s">
        <v>783</v>
      </c>
      <c r="P376" s="5">
        <v>46270.666666666664</v>
      </c>
      <c r="Q376" s="4" t="s">
        <v>2052</v>
      </c>
      <c r="R376" s="31" t="s">
        <v>31</v>
      </c>
      <c r="S376" s="33">
        <v>0</v>
      </c>
      <c r="T376" s="31" t="s">
        <v>94</v>
      </c>
      <c r="U376" s="33"/>
      <c r="V376" s="31" t="s">
        <v>110</v>
      </c>
      <c r="W376" s="7"/>
      <c r="X376" s="35">
        <v>46271.058773645833</v>
      </c>
      <c r="Y376" s="31" t="s">
        <v>785</v>
      </c>
      <c r="Z376" s="47"/>
      <c r="AA376" s="4"/>
      <c r="AB376" s="7"/>
    </row>
    <row r="377" spans="1:28" ht="42" customHeight="1">
      <c r="A377" s="6" t="s">
        <v>2053</v>
      </c>
      <c r="B377" s="4" t="s">
        <v>2054</v>
      </c>
      <c r="C377" s="4" t="s">
        <v>2054</v>
      </c>
      <c r="D377" s="4" t="s">
        <v>777</v>
      </c>
      <c r="E377" s="4" t="s">
        <v>778</v>
      </c>
      <c r="F377" s="4" t="s">
        <v>46</v>
      </c>
      <c r="G377" s="4" t="s">
        <v>2040</v>
      </c>
      <c r="H377" s="4" t="s">
        <v>1730</v>
      </c>
      <c r="I377" s="4" t="s">
        <v>780</v>
      </c>
      <c r="J377" s="7"/>
      <c r="K377" s="7" t="s">
        <v>2055</v>
      </c>
      <c r="L377" s="4" t="s">
        <v>782</v>
      </c>
      <c r="M377" s="4" t="s">
        <v>167</v>
      </c>
      <c r="N377" s="4" t="s">
        <v>250</v>
      </c>
      <c r="O377" s="4" t="s">
        <v>783</v>
      </c>
      <c r="P377" s="5">
        <v>46270.666666666664</v>
      </c>
      <c r="Q377" s="4" t="s">
        <v>2056</v>
      </c>
      <c r="R377" s="31" t="s">
        <v>31</v>
      </c>
      <c r="S377" s="33">
        <v>0</v>
      </c>
      <c r="T377" s="31" t="s">
        <v>94</v>
      </c>
      <c r="U377" s="33"/>
      <c r="V377" s="31" t="s">
        <v>110</v>
      </c>
      <c r="W377" s="7"/>
      <c r="X377" s="35">
        <v>46271.058773645833</v>
      </c>
      <c r="Y377" s="31" t="s">
        <v>785</v>
      </c>
      <c r="Z377" s="47"/>
      <c r="AA377" s="4"/>
      <c r="AB377" s="7"/>
    </row>
    <row r="378" spans="1:28" ht="42" customHeight="1">
      <c r="A378" s="6" t="s">
        <v>2057</v>
      </c>
      <c r="B378" s="4" t="s">
        <v>2058</v>
      </c>
      <c r="C378" s="4" t="s">
        <v>2058</v>
      </c>
      <c r="D378" s="4" t="s">
        <v>777</v>
      </c>
      <c r="E378" s="4" t="s">
        <v>778</v>
      </c>
      <c r="F378" s="4" t="s">
        <v>46</v>
      </c>
      <c r="G378" s="4" t="s">
        <v>2059</v>
      </c>
      <c r="H378" s="4" t="s">
        <v>1859</v>
      </c>
      <c r="I378" s="4" t="s">
        <v>780</v>
      </c>
      <c r="J378" s="7"/>
      <c r="K378" s="7" t="s">
        <v>2060</v>
      </c>
      <c r="L378" s="4" t="s">
        <v>782</v>
      </c>
      <c r="M378" s="4" t="s">
        <v>167</v>
      </c>
      <c r="N378" s="4" t="s">
        <v>250</v>
      </c>
      <c r="O378" s="4" t="s">
        <v>783</v>
      </c>
      <c r="P378" s="5">
        <v>46270.666666666664</v>
      </c>
      <c r="Q378" s="4" t="s">
        <v>2061</v>
      </c>
      <c r="R378" s="31" t="s">
        <v>31</v>
      </c>
      <c r="S378" s="33">
        <v>0</v>
      </c>
      <c r="T378" s="31" t="s">
        <v>94</v>
      </c>
      <c r="U378" s="33"/>
      <c r="V378" s="31" t="s">
        <v>110</v>
      </c>
      <c r="W378" s="7"/>
      <c r="X378" s="35">
        <v>46271.058773645833</v>
      </c>
      <c r="Y378" s="31" t="s">
        <v>785</v>
      </c>
      <c r="Z378" s="47"/>
      <c r="AA378" s="4"/>
      <c r="AB378" s="7"/>
    </row>
    <row r="379" spans="1:28" ht="42" customHeight="1">
      <c r="A379" s="6" t="s">
        <v>2062</v>
      </c>
      <c r="B379" s="4" t="s">
        <v>2063</v>
      </c>
      <c r="C379" s="4" t="s">
        <v>2063</v>
      </c>
      <c r="D379" s="4" t="s">
        <v>777</v>
      </c>
      <c r="E379" s="4" t="s">
        <v>778</v>
      </c>
      <c r="F379" s="4" t="s">
        <v>47</v>
      </c>
      <c r="G379" s="4" t="s">
        <v>2064</v>
      </c>
      <c r="H379" s="4" t="s">
        <v>788</v>
      </c>
      <c r="I379" s="4" t="s">
        <v>780</v>
      </c>
      <c r="J379" s="7"/>
      <c r="K379" s="7" t="s">
        <v>2065</v>
      </c>
      <c r="L379" s="4" t="s">
        <v>782</v>
      </c>
      <c r="M379" s="4" t="s">
        <v>167</v>
      </c>
      <c r="N379" s="4" t="s">
        <v>250</v>
      </c>
      <c r="O379" s="4" t="s">
        <v>783</v>
      </c>
      <c r="P379" s="5">
        <v>46270.666666666664</v>
      </c>
      <c r="Q379" s="4" t="s">
        <v>2066</v>
      </c>
      <c r="R379" s="31" t="s">
        <v>31</v>
      </c>
      <c r="S379" s="33">
        <v>0</v>
      </c>
      <c r="T379" s="31" t="s">
        <v>94</v>
      </c>
      <c r="U379" s="33"/>
      <c r="V379" s="31" t="s">
        <v>110</v>
      </c>
      <c r="W379" s="7"/>
      <c r="X379" s="35">
        <v>46271.058773645833</v>
      </c>
      <c r="Y379" s="31" t="s">
        <v>785</v>
      </c>
      <c r="Z379" s="47"/>
      <c r="AA379" s="4"/>
      <c r="AB379" s="7"/>
    </row>
    <row r="380" spans="1:28" ht="42" customHeight="1">
      <c r="A380" s="6" t="s">
        <v>2067</v>
      </c>
      <c r="B380" s="4" t="s">
        <v>2068</v>
      </c>
      <c r="C380" s="4" t="s">
        <v>2068</v>
      </c>
      <c r="D380" s="4" t="s">
        <v>777</v>
      </c>
      <c r="E380" s="4" t="s">
        <v>778</v>
      </c>
      <c r="F380" s="4" t="s">
        <v>47</v>
      </c>
      <c r="G380" s="4" t="s">
        <v>2069</v>
      </c>
      <c r="H380" s="4" t="s">
        <v>788</v>
      </c>
      <c r="I380" s="4" t="s">
        <v>780</v>
      </c>
      <c r="J380" s="7"/>
      <c r="K380" s="7" t="s">
        <v>2070</v>
      </c>
      <c r="L380" s="4" t="s">
        <v>782</v>
      </c>
      <c r="M380" s="4" t="s">
        <v>167</v>
      </c>
      <c r="N380" s="4" t="s">
        <v>250</v>
      </c>
      <c r="O380" s="4" t="s">
        <v>783</v>
      </c>
      <c r="P380" s="5">
        <v>46270.666666666664</v>
      </c>
      <c r="Q380" s="4" t="s">
        <v>2071</v>
      </c>
      <c r="R380" s="31" t="s">
        <v>31</v>
      </c>
      <c r="S380" s="33">
        <v>0</v>
      </c>
      <c r="T380" s="31" t="s">
        <v>94</v>
      </c>
      <c r="U380" s="33"/>
      <c r="V380" s="31" t="s">
        <v>110</v>
      </c>
      <c r="W380" s="7"/>
      <c r="X380" s="35">
        <v>46271.058773645833</v>
      </c>
      <c r="Y380" s="31" t="s">
        <v>785</v>
      </c>
      <c r="Z380" s="47"/>
      <c r="AA380" s="4"/>
      <c r="AB380" s="7"/>
    </row>
    <row r="381" spans="1:28" ht="42" customHeight="1">
      <c r="A381" s="6" t="s">
        <v>2072</v>
      </c>
      <c r="B381" s="4" t="s">
        <v>2073</v>
      </c>
      <c r="C381" s="4" t="s">
        <v>2073</v>
      </c>
      <c r="D381" s="4" t="s">
        <v>777</v>
      </c>
      <c r="E381" s="4" t="s">
        <v>778</v>
      </c>
      <c r="F381" s="4" t="s">
        <v>47</v>
      </c>
      <c r="G381" s="4" t="s">
        <v>751</v>
      </c>
      <c r="H381" s="4" t="s">
        <v>788</v>
      </c>
      <c r="I381" s="4" t="s">
        <v>780</v>
      </c>
      <c r="J381" s="7"/>
      <c r="K381" s="7" t="s">
        <v>2074</v>
      </c>
      <c r="L381" s="4" t="s">
        <v>782</v>
      </c>
      <c r="M381" s="4" t="s">
        <v>167</v>
      </c>
      <c r="N381" s="4" t="s">
        <v>250</v>
      </c>
      <c r="O381" s="4" t="s">
        <v>783</v>
      </c>
      <c r="P381" s="5">
        <v>46270.666666666664</v>
      </c>
      <c r="Q381" s="4" t="s">
        <v>2075</v>
      </c>
      <c r="R381" s="31" t="s">
        <v>31</v>
      </c>
      <c r="S381" s="33">
        <v>0</v>
      </c>
      <c r="T381" s="31" t="s">
        <v>94</v>
      </c>
      <c r="U381" s="33"/>
      <c r="V381" s="31" t="s">
        <v>110</v>
      </c>
      <c r="W381" s="7"/>
      <c r="X381" s="35">
        <v>46271.058773645833</v>
      </c>
      <c r="Y381" s="31" t="s">
        <v>785</v>
      </c>
      <c r="Z381" s="47"/>
      <c r="AA381" s="4"/>
      <c r="AB381" s="7"/>
    </row>
    <row r="382" spans="1:28" ht="42" customHeight="1">
      <c r="A382" s="6" t="s">
        <v>2076</v>
      </c>
      <c r="B382" s="4" t="s">
        <v>2077</v>
      </c>
      <c r="C382" s="4" t="s">
        <v>2077</v>
      </c>
      <c r="D382" s="4" t="s">
        <v>777</v>
      </c>
      <c r="E382" s="4" t="s">
        <v>778</v>
      </c>
      <c r="F382" s="4" t="s">
        <v>48</v>
      </c>
      <c r="G382" s="4" t="s">
        <v>2078</v>
      </c>
      <c r="H382" s="4" t="s">
        <v>948</v>
      </c>
      <c r="I382" s="4" t="s">
        <v>780</v>
      </c>
      <c r="J382" s="7"/>
      <c r="K382" s="7" t="s">
        <v>2079</v>
      </c>
      <c r="L382" s="4" t="s">
        <v>782</v>
      </c>
      <c r="M382" s="4" t="s">
        <v>167</v>
      </c>
      <c r="N382" s="4" t="s">
        <v>250</v>
      </c>
      <c r="O382" s="4" t="s">
        <v>783</v>
      </c>
      <c r="P382" s="5">
        <v>46270.666666666664</v>
      </c>
      <c r="Q382" s="4" t="s">
        <v>2080</v>
      </c>
      <c r="R382" s="31" t="s">
        <v>31</v>
      </c>
      <c r="S382" s="33">
        <v>0</v>
      </c>
      <c r="T382" s="31" t="s">
        <v>94</v>
      </c>
      <c r="U382" s="33"/>
      <c r="V382" s="31" t="s">
        <v>110</v>
      </c>
      <c r="W382" s="7"/>
      <c r="X382" s="35">
        <v>46271.058773645833</v>
      </c>
      <c r="Y382" s="31" t="s">
        <v>785</v>
      </c>
      <c r="Z382" s="47"/>
      <c r="AA382" s="4"/>
      <c r="AB382" s="7"/>
    </row>
    <row r="383" spans="1:28" ht="42" customHeight="1">
      <c r="A383" s="6" t="s">
        <v>2081</v>
      </c>
      <c r="B383" s="4" t="s">
        <v>2082</v>
      </c>
      <c r="C383" s="4" t="s">
        <v>2082</v>
      </c>
      <c r="D383" s="4" t="s">
        <v>777</v>
      </c>
      <c r="E383" s="4" t="s">
        <v>778</v>
      </c>
      <c r="F383" s="4" t="s">
        <v>48</v>
      </c>
      <c r="G383" s="4" t="s">
        <v>765</v>
      </c>
      <c r="H383" s="4" t="s">
        <v>788</v>
      </c>
      <c r="I383" s="4" t="s">
        <v>780</v>
      </c>
      <c r="J383" s="7"/>
      <c r="K383" s="7" t="s">
        <v>2083</v>
      </c>
      <c r="L383" s="4" t="s">
        <v>782</v>
      </c>
      <c r="M383" s="4" t="s">
        <v>167</v>
      </c>
      <c r="N383" s="4" t="s">
        <v>250</v>
      </c>
      <c r="O383" s="4" t="s">
        <v>783</v>
      </c>
      <c r="P383" s="5">
        <v>46270.666666666664</v>
      </c>
      <c r="Q383" s="4" t="s">
        <v>2084</v>
      </c>
      <c r="R383" s="31" t="s">
        <v>31</v>
      </c>
      <c r="S383" s="33">
        <v>0</v>
      </c>
      <c r="T383" s="31" t="s">
        <v>94</v>
      </c>
      <c r="U383" s="33"/>
      <c r="V383" s="31" t="s">
        <v>110</v>
      </c>
      <c r="W383" s="7"/>
      <c r="X383" s="35">
        <v>46271.058773645833</v>
      </c>
      <c r="Y383" s="31" t="s">
        <v>785</v>
      </c>
      <c r="Z383" s="47"/>
      <c r="AA383" s="4"/>
      <c r="AB383" s="7"/>
    </row>
    <row r="384" spans="1:28" ht="42" customHeight="1">
      <c r="A384" s="6" t="s">
        <v>2085</v>
      </c>
      <c r="B384" s="4" t="s">
        <v>2086</v>
      </c>
      <c r="C384" s="4" t="s">
        <v>2086</v>
      </c>
      <c r="D384" s="4" t="s">
        <v>777</v>
      </c>
      <c r="E384" s="4" t="s">
        <v>778</v>
      </c>
      <c r="F384" s="4" t="s">
        <v>48</v>
      </c>
      <c r="G384" s="4"/>
      <c r="H384" s="4" t="s">
        <v>788</v>
      </c>
      <c r="I384" s="4" t="s">
        <v>780</v>
      </c>
      <c r="J384" s="7"/>
      <c r="K384" s="7" t="s">
        <v>2087</v>
      </c>
      <c r="L384" s="4" t="s">
        <v>782</v>
      </c>
      <c r="M384" s="4" t="s">
        <v>167</v>
      </c>
      <c r="N384" s="4" t="s">
        <v>250</v>
      </c>
      <c r="O384" s="4" t="s">
        <v>783</v>
      </c>
      <c r="P384" s="5">
        <v>46270.666666666664</v>
      </c>
      <c r="Q384" s="4" t="s">
        <v>2088</v>
      </c>
      <c r="R384" s="31" t="s">
        <v>31</v>
      </c>
      <c r="S384" s="33">
        <v>0</v>
      </c>
      <c r="T384" s="31" t="s">
        <v>94</v>
      </c>
      <c r="U384" s="33"/>
      <c r="V384" s="31" t="s">
        <v>110</v>
      </c>
      <c r="W384" s="7"/>
      <c r="X384" s="35">
        <v>46271.058773645833</v>
      </c>
      <c r="Y384" s="31" t="s">
        <v>785</v>
      </c>
      <c r="Z384" s="47"/>
      <c r="AA384" s="4"/>
      <c r="AB384" s="7"/>
    </row>
    <row r="385" spans="1:28" ht="42" customHeight="1">
      <c r="A385" s="6" t="s">
        <v>2089</v>
      </c>
      <c r="B385" s="4" t="s">
        <v>2090</v>
      </c>
      <c r="C385" s="4" t="s">
        <v>2090</v>
      </c>
      <c r="D385" s="4" t="s">
        <v>777</v>
      </c>
      <c r="E385" s="4" t="s">
        <v>778</v>
      </c>
      <c r="F385" s="4" t="s">
        <v>48</v>
      </c>
      <c r="G385" s="4" t="s">
        <v>765</v>
      </c>
      <c r="H385" s="4" t="s">
        <v>788</v>
      </c>
      <c r="I385" s="4" t="s">
        <v>780</v>
      </c>
      <c r="J385" s="7"/>
      <c r="K385" s="7" t="s">
        <v>2091</v>
      </c>
      <c r="L385" s="4" t="s">
        <v>782</v>
      </c>
      <c r="M385" s="4" t="s">
        <v>167</v>
      </c>
      <c r="N385" s="4" t="s">
        <v>250</v>
      </c>
      <c r="O385" s="4" t="s">
        <v>783</v>
      </c>
      <c r="P385" s="5">
        <v>46270.666666666664</v>
      </c>
      <c r="Q385" s="4" t="s">
        <v>2092</v>
      </c>
      <c r="R385" s="31" t="s">
        <v>31</v>
      </c>
      <c r="S385" s="33">
        <v>0</v>
      </c>
      <c r="T385" s="31" t="s">
        <v>94</v>
      </c>
      <c r="U385" s="33"/>
      <c r="V385" s="31" t="s">
        <v>110</v>
      </c>
      <c r="W385" s="7"/>
      <c r="X385" s="35">
        <v>46271.058773645833</v>
      </c>
      <c r="Y385" s="31" t="s">
        <v>785</v>
      </c>
      <c r="Z385" s="47"/>
      <c r="AA385" s="4"/>
      <c r="AB385" s="7"/>
    </row>
    <row r="386" spans="1:28" ht="42" customHeight="1">
      <c r="A386" s="6" t="s">
        <v>2093</v>
      </c>
      <c r="B386" s="4" t="s">
        <v>1121</v>
      </c>
      <c r="C386" s="4" t="s">
        <v>1121</v>
      </c>
      <c r="D386" s="4" t="s">
        <v>777</v>
      </c>
      <c r="E386" s="4" t="s">
        <v>778</v>
      </c>
      <c r="F386" s="4" t="s">
        <v>48</v>
      </c>
      <c r="G386" s="4" t="s">
        <v>765</v>
      </c>
      <c r="H386" s="4" t="s">
        <v>788</v>
      </c>
      <c r="I386" s="4" t="s">
        <v>780</v>
      </c>
      <c r="J386" s="7"/>
      <c r="K386" s="7" t="s">
        <v>2094</v>
      </c>
      <c r="L386" s="4" t="s">
        <v>782</v>
      </c>
      <c r="M386" s="4" t="s">
        <v>167</v>
      </c>
      <c r="N386" s="4" t="s">
        <v>250</v>
      </c>
      <c r="O386" s="4" t="s">
        <v>783</v>
      </c>
      <c r="P386" s="5">
        <v>46270.666666666664</v>
      </c>
      <c r="Q386" s="4" t="s">
        <v>2095</v>
      </c>
      <c r="R386" s="31" t="s">
        <v>31</v>
      </c>
      <c r="S386" s="33">
        <v>0</v>
      </c>
      <c r="T386" s="31" t="s">
        <v>94</v>
      </c>
      <c r="U386" s="33"/>
      <c r="V386" s="31" t="s">
        <v>110</v>
      </c>
      <c r="W386" s="7"/>
      <c r="X386" s="35">
        <v>46271.058773645833</v>
      </c>
      <c r="Y386" s="31" t="s">
        <v>785</v>
      </c>
      <c r="Z386" s="47"/>
      <c r="AA386" s="4"/>
      <c r="AB386" s="7"/>
    </row>
    <row r="387" spans="1:28" ht="42" customHeight="1">
      <c r="A387" s="6" t="s">
        <v>2096</v>
      </c>
      <c r="B387" s="4" t="s">
        <v>2097</v>
      </c>
      <c r="C387" s="4" t="s">
        <v>2097</v>
      </c>
      <c r="D387" s="4" t="s">
        <v>777</v>
      </c>
      <c r="E387" s="4" t="s">
        <v>778</v>
      </c>
      <c r="F387" s="4" t="s">
        <v>48</v>
      </c>
      <c r="G387" s="4" t="s">
        <v>765</v>
      </c>
      <c r="H387" s="4" t="s">
        <v>788</v>
      </c>
      <c r="I387" s="4" t="s">
        <v>780</v>
      </c>
      <c r="J387" s="7"/>
      <c r="K387" s="7" t="s">
        <v>2098</v>
      </c>
      <c r="L387" s="4" t="s">
        <v>782</v>
      </c>
      <c r="M387" s="4" t="s">
        <v>167</v>
      </c>
      <c r="N387" s="4" t="s">
        <v>250</v>
      </c>
      <c r="O387" s="4" t="s">
        <v>783</v>
      </c>
      <c r="P387" s="5">
        <v>46270.666666666664</v>
      </c>
      <c r="Q387" s="4" t="s">
        <v>2099</v>
      </c>
      <c r="R387" s="31" t="s">
        <v>31</v>
      </c>
      <c r="S387" s="33">
        <v>0</v>
      </c>
      <c r="T387" s="31" t="s">
        <v>94</v>
      </c>
      <c r="U387" s="33"/>
      <c r="V387" s="31" t="s">
        <v>110</v>
      </c>
      <c r="W387" s="7"/>
      <c r="X387" s="35">
        <v>46271.058773645833</v>
      </c>
      <c r="Y387" s="31" t="s">
        <v>785</v>
      </c>
      <c r="Z387" s="47"/>
      <c r="AA387" s="4"/>
      <c r="AB387" s="7"/>
    </row>
    <row r="388" spans="1:28" ht="42" customHeight="1">
      <c r="A388" s="6" t="s">
        <v>2100</v>
      </c>
      <c r="B388" s="4" t="s">
        <v>2101</v>
      </c>
      <c r="C388" s="4" t="s">
        <v>2101</v>
      </c>
      <c r="D388" s="4" t="s">
        <v>777</v>
      </c>
      <c r="E388" s="4" t="s">
        <v>778</v>
      </c>
      <c r="F388" s="4" t="s">
        <v>48</v>
      </c>
      <c r="G388" s="4" t="s">
        <v>765</v>
      </c>
      <c r="H388" s="4" t="s">
        <v>1286</v>
      </c>
      <c r="I388" s="4" t="s">
        <v>780</v>
      </c>
      <c r="J388" s="7"/>
      <c r="K388" s="7" t="s">
        <v>2102</v>
      </c>
      <c r="L388" s="4" t="s">
        <v>782</v>
      </c>
      <c r="M388" s="4" t="s">
        <v>167</v>
      </c>
      <c r="N388" s="4" t="s">
        <v>250</v>
      </c>
      <c r="O388" s="4" t="s">
        <v>783</v>
      </c>
      <c r="P388" s="5">
        <v>46270.666666666664</v>
      </c>
      <c r="Q388" s="4" t="s">
        <v>2103</v>
      </c>
      <c r="R388" s="31" t="s">
        <v>31</v>
      </c>
      <c r="S388" s="33">
        <v>0</v>
      </c>
      <c r="T388" s="31" t="s">
        <v>94</v>
      </c>
      <c r="U388" s="33"/>
      <c r="V388" s="31" t="s">
        <v>110</v>
      </c>
      <c r="W388" s="7"/>
      <c r="X388" s="35">
        <v>46271.058773645833</v>
      </c>
      <c r="Y388" s="31" t="s">
        <v>785</v>
      </c>
      <c r="Z388" s="47"/>
      <c r="AA388" s="4"/>
      <c r="AB388" s="7"/>
    </row>
    <row r="389" spans="1:28" ht="42" customHeight="1">
      <c r="A389" s="6" t="s">
        <v>2104</v>
      </c>
      <c r="B389" s="4" t="s">
        <v>2105</v>
      </c>
      <c r="C389" s="4" t="s">
        <v>2105</v>
      </c>
      <c r="D389" s="4" t="s">
        <v>777</v>
      </c>
      <c r="E389" s="4" t="s">
        <v>778</v>
      </c>
      <c r="F389" s="4" t="s">
        <v>48</v>
      </c>
      <c r="G389" s="4" t="s">
        <v>765</v>
      </c>
      <c r="H389" s="4" t="s">
        <v>788</v>
      </c>
      <c r="I389" s="4" t="s">
        <v>780</v>
      </c>
      <c r="J389" s="7"/>
      <c r="K389" s="7" t="s">
        <v>2106</v>
      </c>
      <c r="L389" s="4" t="s">
        <v>782</v>
      </c>
      <c r="M389" s="4" t="s">
        <v>167</v>
      </c>
      <c r="N389" s="4" t="s">
        <v>250</v>
      </c>
      <c r="O389" s="4" t="s">
        <v>783</v>
      </c>
      <c r="P389" s="5">
        <v>46270.666666666664</v>
      </c>
      <c r="Q389" s="4" t="s">
        <v>2107</v>
      </c>
      <c r="R389" s="31" t="s">
        <v>31</v>
      </c>
      <c r="S389" s="33">
        <v>0</v>
      </c>
      <c r="T389" s="31" t="s">
        <v>94</v>
      </c>
      <c r="U389" s="33"/>
      <c r="V389" s="31" t="s">
        <v>110</v>
      </c>
      <c r="W389" s="7"/>
      <c r="X389" s="35">
        <v>46271.058773645833</v>
      </c>
      <c r="Y389" s="31" t="s">
        <v>785</v>
      </c>
      <c r="Z389" s="47"/>
      <c r="AA389" s="4"/>
      <c r="AB389" s="7"/>
    </row>
    <row r="390" spans="1:28" ht="42" customHeight="1">
      <c r="A390" s="6" t="s">
        <v>2108</v>
      </c>
      <c r="B390" s="4" t="s">
        <v>2109</v>
      </c>
      <c r="C390" s="4" t="s">
        <v>2109</v>
      </c>
      <c r="D390" s="4" t="s">
        <v>777</v>
      </c>
      <c r="E390" s="4" t="s">
        <v>778</v>
      </c>
      <c r="F390" s="4" t="s">
        <v>48</v>
      </c>
      <c r="G390" s="4" t="s">
        <v>2110</v>
      </c>
      <c r="H390" s="4" t="s">
        <v>788</v>
      </c>
      <c r="I390" s="4" t="s">
        <v>780</v>
      </c>
      <c r="J390" s="7"/>
      <c r="K390" s="7" t="s">
        <v>2111</v>
      </c>
      <c r="L390" s="4" t="s">
        <v>782</v>
      </c>
      <c r="M390" s="4" t="s">
        <v>167</v>
      </c>
      <c r="N390" s="4" t="s">
        <v>250</v>
      </c>
      <c r="O390" s="4" t="s">
        <v>783</v>
      </c>
      <c r="P390" s="5">
        <v>46270.666666666664</v>
      </c>
      <c r="Q390" s="4" t="s">
        <v>2112</v>
      </c>
      <c r="R390" s="31" t="s">
        <v>31</v>
      </c>
      <c r="S390" s="33">
        <v>0</v>
      </c>
      <c r="T390" s="31" t="s">
        <v>94</v>
      </c>
      <c r="U390" s="33"/>
      <c r="V390" s="31" t="s">
        <v>110</v>
      </c>
      <c r="W390" s="7"/>
      <c r="X390" s="35">
        <v>46271.058773645833</v>
      </c>
      <c r="Y390" s="31" t="s">
        <v>785</v>
      </c>
      <c r="Z390" s="47"/>
      <c r="AA390" s="4"/>
      <c r="AB390" s="7"/>
    </row>
    <row r="391" spans="1:28" ht="42" customHeight="1">
      <c r="A391" s="8" t="s">
        <v>2113</v>
      </c>
      <c r="B391" s="9" t="s">
        <v>2114</v>
      </c>
      <c r="C391" s="9" t="s">
        <v>2114</v>
      </c>
      <c r="D391" s="9" t="s">
        <v>777</v>
      </c>
      <c r="E391" s="9" t="s">
        <v>778</v>
      </c>
      <c r="F391" s="9" t="s">
        <v>48</v>
      </c>
      <c r="G391" s="9"/>
      <c r="H391" s="9" t="s">
        <v>788</v>
      </c>
      <c r="I391" s="9" t="s">
        <v>780</v>
      </c>
      <c r="J391" s="10"/>
      <c r="K391" s="10" t="s">
        <v>2115</v>
      </c>
      <c r="L391" s="9" t="s">
        <v>782</v>
      </c>
      <c r="M391" s="9" t="s">
        <v>167</v>
      </c>
      <c r="N391" s="9" t="s">
        <v>250</v>
      </c>
      <c r="O391" s="9" t="s">
        <v>783</v>
      </c>
      <c r="P391" s="11">
        <v>46270.666666666664</v>
      </c>
      <c r="Q391" s="9" t="s">
        <v>2116</v>
      </c>
      <c r="R391" s="32" t="s">
        <v>31</v>
      </c>
      <c r="S391" s="34">
        <v>0</v>
      </c>
      <c r="T391" s="32" t="s">
        <v>94</v>
      </c>
      <c r="U391" s="34"/>
      <c r="V391" s="32" t="s">
        <v>110</v>
      </c>
      <c r="W391" s="10"/>
      <c r="X391" s="36">
        <v>46271.058773645833</v>
      </c>
      <c r="Y391" s="32" t="s">
        <v>785</v>
      </c>
      <c r="Z391" s="48"/>
      <c r="AA391" s="9"/>
      <c r="AB391" s="10"/>
    </row>
    <row r="392" spans="1:28" ht="84" customHeight="1">
      <c r="A392" s="1" t="s">
        <v>2117</v>
      </c>
      <c r="B392" s="1" t="s">
        <v>2118</v>
      </c>
      <c r="C392" s="1" t="s">
        <v>2118</v>
      </c>
      <c r="D392" s="1" t="s">
        <v>2119</v>
      </c>
      <c r="E392" s="1" t="s">
        <v>394</v>
      </c>
      <c r="F392" s="1" t="s">
        <v>30</v>
      </c>
      <c r="G392" s="1" t="s">
        <v>370</v>
      </c>
      <c r="H392" s="1" t="s">
        <v>106</v>
      </c>
      <c r="I392" s="1" t="s">
        <v>2120</v>
      </c>
      <c r="J392" s="1" t="s">
        <v>2121</v>
      </c>
      <c r="K392" s="1" t="s">
        <v>2121</v>
      </c>
      <c r="L392" s="1" t="s">
        <v>89</v>
      </c>
      <c r="M392" s="1" t="s">
        <v>90</v>
      </c>
      <c r="N392" s="1" t="s">
        <v>91</v>
      </c>
      <c r="O392" s="1" t="s">
        <v>92</v>
      </c>
      <c r="P392" s="51">
        <v>46326</v>
      </c>
      <c r="Q392" s="26" t="s">
        <v>2122</v>
      </c>
      <c r="R392" t="s">
        <v>23</v>
      </c>
      <c r="S392">
        <v>99</v>
      </c>
      <c r="T392" t="s">
        <v>94</v>
      </c>
      <c r="U392">
        <v>200</v>
      </c>
      <c r="V392" t="s">
        <v>110</v>
      </c>
      <c r="W392" t="s">
        <v>2121</v>
      </c>
      <c r="X392">
        <v>46285.625</v>
      </c>
      <c r="Y392" t="s">
        <v>2123</v>
      </c>
      <c r="Z392" s="49">
        <v>1</v>
      </c>
      <c r="AA392" s="26" t="s">
        <v>10</v>
      </c>
      <c r="AB392" s="26" t="s">
        <v>97</v>
      </c>
    </row>
    <row r="393" spans="1:28" ht="84" customHeight="1">
      <c r="A393" s="1" t="s">
        <v>2124</v>
      </c>
      <c r="B393" s="1" t="s">
        <v>2125</v>
      </c>
      <c r="C393" s="1" t="s">
        <v>2126</v>
      </c>
      <c r="D393" s="1" t="s">
        <v>2127</v>
      </c>
      <c r="E393" s="1" t="s">
        <v>105</v>
      </c>
      <c r="F393" s="1" t="s">
        <v>26</v>
      </c>
      <c r="G393" s="1"/>
      <c r="H393" s="1" t="s">
        <v>2128</v>
      </c>
      <c r="I393" s="1" t="s">
        <v>2129</v>
      </c>
      <c r="J393" s="1" t="s">
        <v>2130</v>
      </c>
      <c r="K393" s="1" t="s">
        <v>2130</v>
      </c>
      <c r="L393" s="1" t="s">
        <v>89</v>
      </c>
      <c r="M393" s="1" t="s">
        <v>90</v>
      </c>
      <c r="N393" s="1" t="s">
        <v>91</v>
      </c>
      <c r="O393" s="1" t="s">
        <v>92</v>
      </c>
      <c r="P393" s="51">
        <v>46326</v>
      </c>
      <c r="Q393" s="26" t="s">
        <v>2131</v>
      </c>
      <c r="R393" t="s">
        <v>23</v>
      </c>
      <c r="S393">
        <v>100</v>
      </c>
      <c r="T393" t="s">
        <v>94</v>
      </c>
      <c r="U393">
        <v>200</v>
      </c>
      <c r="V393" t="s">
        <v>110</v>
      </c>
      <c r="W393" t="s">
        <v>2130</v>
      </c>
      <c r="X393">
        <v>46285.625</v>
      </c>
      <c r="Y393" t="s">
        <v>2132</v>
      </c>
      <c r="Z393" s="49">
        <v>0</v>
      </c>
      <c r="AA393" s="26" t="s">
        <v>2133</v>
      </c>
      <c r="AB393" s="26" t="s">
        <v>121</v>
      </c>
    </row>
    <row r="394" spans="1:28" ht="84" customHeight="1">
      <c r="A394" s="6" t="s">
        <v>2134</v>
      </c>
      <c r="B394" s="4" t="s">
        <v>2135</v>
      </c>
      <c r="C394" s="4" t="s">
        <v>2135</v>
      </c>
      <c r="D394" s="4" t="s">
        <v>383</v>
      </c>
      <c r="E394" s="4" t="s">
        <v>362</v>
      </c>
      <c r="F394" s="4" t="s">
        <v>45</v>
      </c>
      <c r="G394" s="4" t="s">
        <v>703</v>
      </c>
      <c r="H394" s="4" t="s">
        <v>106</v>
      </c>
      <c r="I394" s="4" t="s">
        <v>2136</v>
      </c>
      <c r="J394" s="7" t="s">
        <v>2137</v>
      </c>
      <c r="K394" s="7" t="s">
        <v>2137</v>
      </c>
      <c r="L394" s="4" t="s">
        <v>89</v>
      </c>
      <c r="M394" s="4" t="s">
        <v>90</v>
      </c>
      <c r="N394" s="4" t="s">
        <v>91</v>
      </c>
      <c r="O394" s="4" t="s">
        <v>92</v>
      </c>
      <c r="P394" s="50">
        <v>46326</v>
      </c>
      <c r="Q394" s="4" t="s">
        <v>2138</v>
      </c>
      <c r="R394" s="31" t="s">
        <v>6</v>
      </c>
      <c r="S394" s="33"/>
      <c r="T394" s="31"/>
      <c r="U394" s="33"/>
      <c r="V394" s="31"/>
      <c r="W394" s="7"/>
      <c r="X394" s="45"/>
      <c r="Y394" s="31"/>
      <c r="Z394" s="47">
        <v>14</v>
      </c>
      <c r="AA394" s="4" t="s">
        <v>10</v>
      </c>
      <c r="AB394" s="7" t="s">
        <v>97</v>
      </c>
    </row>
    <row r="395" spans="1:28" ht="84" customHeight="1">
      <c r="A395" s="6" t="s">
        <v>2139</v>
      </c>
      <c r="B395" s="4" t="s">
        <v>2140</v>
      </c>
      <c r="C395" s="4" t="s">
        <v>2140</v>
      </c>
      <c r="D395" s="4" t="s">
        <v>383</v>
      </c>
      <c r="E395" s="4" t="s">
        <v>362</v>
      </c>
      <c r="F395" s="4" t="s">
        <v>46</v>
      </c>
      <c r="G395" s="4" t="s">
        <v>2141</v>
      </c>
      <c r="H395" s="4" t="s">
        <v>106</v>
      </c>
      <c r="I395" s="4" t="s">
        <v>2136</v>
      </c>
      <c r="J395" s="7" t="s">
        <v>2142</v>
      </c>
      <c r="K395" s="7" t="s">
        <v>2142</v>
      </c>
      <c r="L395" s="4" t="s">
        <v>166</v>
      </c>
      <c r="M395" s="4" t="s">
        <v>167</v>
      </c>
      <c r="N395" s="4" t="s">
        <v>91</v>
      </c>
      <c r="O395" s="4" t="s">
        <v>117</v>
      </c>
      <c r="P395" s="50"/>
      <c r="Q395" s="4" t="s">
        <v>2143</v>
      </c>
      <c r="R395" s="31" t="s">
        <v>29</v>
      </c>
      <c r="S395" s="33"/>
      <c r="T395" s="31"/>
      <c r="U395" s="33">
        <v>403</v>
      </c>
      <c r="V395" s="31"/>
      <c r="W395" s="7"/>
      <c r="X395" s="45"/>
      <c r="Y395" s="31" t="s">
        <v>2144</v>
      </c>
      <c r="Z395" s="47">
        <v>0</v>
      </c>
      <c r="AA395" s="4" t="s">
        <v>170</v>
      </c>
      <c r="AB395" s="7" t="s">
        <v>171</v>
      </c>
    </row>
    <row r="396" spans="1:28" ht="84" customHeight="1">
      <c r="A396" s="6" t="s">
        <v>2145</v>
      </c>
      <c r="B396" s="4" t="s">
        <v>2146</v>
      </c>
      <c r="C396" s="4" t="s">
        <v>2146</v>
      </c>
      <c r="D396" s="4" t="s">
        <v>383</v>
      </c>
      <c r="E396" s="4" t="s">
        <v>362</v>
      </c>
      <c r="F396" s="4" t="s">
        <v>39</v>
      </c>
      <c r="G396" s="4" t="s">
        <v>506</v>
      </c>
      <c r="H396" s="4" t="s">
        <v>106</v>
      </c>
      <c r="I396" s="4" t="s">
        <v>2136</v>
      </c>
      <c r="J396" s="7" t="s">
        <v>2147</v>
      </c>
      <c r="K396" s="7" t="s">
        <v>2147</v>
      </c>
      <c r="L396" s="4" t="s">
        <v>166</v>
      </c>
      <c r="M396" s="4" t="s">
        <v>167</v>
      </c>
      <c r="N396" s="4" t="s">
        <v>91</v>
      </c>
      <c r="O396" s="4" t="s">
        <v>92</v>
      </c>
      <c r="P396" s="50"/>
      <c r="Q396" s="4" t="s">
        <v>2143</v>
      </c>
      <c r="R396" s="31" t="s">
        <v>29</v>
      </c>
      <c r="S396" s="33"/>
      <c r="T396" s="31"/>
      <c r="U396" s="33">
        <v>403</v>
      </c>
      <c r="V396" s="31"/>
      <c r="W396" s="7"/>
      <c r="X396" s="45"/>
      <c r="Y396" s="31" t="s">
        <v>2144</v>
      </c>
      <c r="Z396" s="47">
        <v>0</v>
      </c>
      <c r="AA396" s="4" t="s">
        <v>170</v>
      </c>
      <c r="AB396" s="7" t="s">
        <v>171</v>
      </c>
    </row>
    <row r="397" spans="1:28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28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28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28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</sheetData>
  <conditionalFormatting sqref="L2:L391">
    <cfRule type="expression" dxfId="7" priority="1">
      <formula>$L2="Integrada activa"</formula>
    </cfRule>
    <cfRule type="expression" dxfId="6" priority="2">
      <formula>$L2="Configurada inactiva"</formula>
    </cfRule>
    <cfRule type="expression" dxfId="5" priority="3">
      <formula>$L2="Candidata verificada"</formula>
    </cfRule>
    <cfRule type="expression" dxfId="4" priority="4">
      <formula>$L2="Referencia territorial"</formula>
    </cfRule>
  </conditionalFormatting>
  <conditionalFormatting sqref="R2:R391">
    <cfRule type="expression" dxfId="3" priority="5">
      <formula>$R2="Aprobada técnicamente"</formula>
    </cfRule>
    <cfRule type="expression" dxfId="2" priority="6">
      <formula>$R2="Revisión manual"</formula>
    </cfRule>
    <cfRule type="expression" dxfId="1" priority="7">
      <formula>$R2="No aprobada"</formula>
    </cfRule>
    <cfRule type="expression" dxfId="0" priority="8">
      <formula>$R2="Referencia sin agenda"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4C9A"/>
  </sheetPr>
  <dimension ref="A1:Q500"/>
  <sheetViews>
    <sheetView showGridLines="0" workbookViewId="0">
      <pane ySplit="2" topLeftCell="A3" activePane="bottomLeft" state="frozen"/>
      <selection pane="bottomLeft" sqref="A1:F1"/>
    </sheetView>
  </sheetViews>
  <sheetFormatPr baseColWidth="10" defaultColWidth="9" defaultRowHeight="14.25"/>
  <cols>
    <col min="1" max="1" width="36" customWidth="1"/>
    <col min="2" max="2" width="82" customWidth="1"/>
    <col min="3" max="3" width="58" customWidth="1"/>
    <col min="4" max="6" width="3" customWidth="1"/>
  </cols>
  <sheetData>
    <row r="1" spans="1:17" ht="24.75">
      <c r="A1" s="63" t="s">
        <v>2148</v>
      </c>
      <c r="B1" s="57"/>
      <c r="C1" s="57"/>
      <c r="D1" s="57"/>
      <c r="E1" s="57"/>
      <c r="F1" s="57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>
      <c r="A2" s="64" t="s">
        <v>2149</v>
      </c>
      <c r="B2" s="57"/>
      <c r="C2" s="57"/>
      <c r="D2" s="57"/>
      <c r="E2" s="57"/>
      <c r="F2" s="57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>
      <c r="A4" s="2" t="s">
        <v>2150</v>
      </c>
      <c r="B4" s="2" t="s">
        <v>2151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45" customHeight="1">
      <c r="A5" s="25" t="s">
        <v>2152</v>
      </c>
      <c r="B5" s="26" t="s">
        <v>2153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5" customHeight="1">
      <c r="A6" s="25" t="s">
        <v>23</v>
      </c>
      <c r="B6" s="26" t="s">
        <v>2154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5" customHeight="1">
      <c r="A7" s="25" t="s">
        <v>6</v>
      </c>
      <c r="B7" s="26" t="s">
        <v>2155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5" customHeight="1">
      <c r="A8" s="25" t="s">
        <v>29</v>
      </c>
      <c r="B8" s="26" t="s">
        <v>2156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5" customHeight="1">
      <c r="A9" s="25" t="s">
        <v>31</v>
      </c>
      <c r="B9" s="26" t="s">
        <v>2157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5" customHeight="1">
      <c r="A10" s="25" t="s">
        <v>2158</v>
      </c>
      <c r="B10" s="26" t="s">
        <v>2159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45" customHeight="1">
      <c r="A11" s="25" t="s">
        <v>2160</v>
      </c>
      <c r="B11" s="26" t="s">
        <v>2161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5" customHeight="1">
      <c r="A12" s="25" t="s">
        <v>2162</v>
      </c>
      <c r="B12" s="26" t="s">
        <v>2163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45" customHeight="1">
      <c r="A13" s="25" t="s">
        <v>2164</v>
      </c>
      <c r="B13" s="26" t="s">
        <v>2165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45" customHeight="1">
      <c r="A14" s="25" t="s">
        <v>2166</v>
      </c>
      <c r="B14" s="26" t="s">
        <v>2167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5" customHeight="1">
      <c r="A15" s="27" t="s">
        <v>2168</v>
      </c>
      <c r="B15" s="28" t="s">
        <v>2169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45" customHeight="1">
      <c r="A16" s="43" t="s">
        <v>2170</v>
      </c>
      <c r="B16" s="26" t="s">
        <v>2171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24" t="s">
        <v>2172</v>
      </c>
      <c r="B18" s="24" t="s">
        <v>2173</v>
      </c>
      <c r="C18" s="24" t="s">
        <v>2174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26" t="s">
        <v>104</v>
      </c>
      <c r="B19" s="26" t="s">
        <v>2175</v>
      </c>
      <c r="C19" s="29" t="s">
        <v>107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26" t="s">
        <v>2176</v>
      </c>
      <c r="B20" s="26" t="s">
        <v>2177</v>
      </c>
      <c r="C20" s="29" t="s">
        <v>2178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26" t="s">
        <v>2179</v>
      </c>
      <c r="B21" s="26" t="s">
        <v>2180</v>
      </c>
      <c r="C21" s="29" t="s">
        <v>2181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4.75">
      <c r="A22" s="26" t="s">
        <v>2182</v>
      </c>
      <c r="B22" s="26" t="s">
        <v>2183</v>
      </c>
      <c r="C22" s="29" t="s">
        <v>2184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26" t="s">
        <v>124</v>
      </c>
      <c r="B23" s="26" t="s">
        <v>2185</v>
      </c>
      <c r="C23" s="29" t="s">
        <v>617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>
      <c r="A24" s="26" t="s">
        <v>266</v>
      </c>
      <c r="B24" s="26" t="s">
        <v>2186</v>
      </c>
      <c r="C24" s="29" t="s">
        <v>271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>
      <c r="A25" s="26" t="s">
        <v>259</v>
      </c>
      <c r="B25" s="26" t="s">
        <v>2187</v>
      </c>
      <c r="C25" s="29" t="s">
        <v>264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>
      <c r="A26" s="28" t="s">
        <v>274</v>
      </c>
      <c r="B26" s="28" t="s">
        <v>2188</v>
      </c>
      <c r="C26" s="30" t="s">
        <v>279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63.95" customHeight="1">
      <c r="A28" s="55" t="s">
        <v>77</v>
      </c>
      <c r="B28" s="55" t="s">
        <v>2189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63.95" customHeight="1">
      <c r="A29" s="55" t="s">
        <v>2190</v>
      </c>
      <c r="B29" s="55" t="s">
        <v>2191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63.95" customHeight="1">
      <c r="A30" s="55" t="s">
        <v>70</v>
      </c>
      <c r="B30" s="55" t="s">
        <v>2192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63.95" customHeight="1">
      <c r="A31" s="55" t="s">
        <v>2193</v>
      </c>
      <c r="B31" s="55" t="s">
        <v>2194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63.95" customHeight="1">
      <c r="A32" s="55" t="s">
        <v>2195</v>
      </c>
      <c r="B32" s="55" t="s">
        <v>2196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Resumen</vt:lpstr>
      <vt:lpstr>Fuentes</vt:lpstr>
      <vt:lpstr>Criterios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miguel Moncada</cp:lastModifiedBy>
  <cp:lastPrinted>2026-10-31T07:55:36Z</cp:lastPrinted>
  <dcterms:modified xsi:type="dcterms:W3CDTF">2026-10-31T07:55:36Z</dcterms:modified>
</cp:coreProperties>
</file>